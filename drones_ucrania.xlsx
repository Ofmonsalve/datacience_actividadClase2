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Dato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<sst xmlns="http://schemas.openxmlformats.org/spreadsheetml/2006/main" count="4172" uniqueCount="961">
  <si>
    <t xml:space="preserve">Flota de drones · Ucrania (conjunto de datos SINTÉTICO)</t>
  </si>
  <si>
    <t xml:space="preserve">Aviso importante</t>
  </si>
  <si>
    <t xml:space="preserve">Los 500 registros de este libro fueron generados por simulación estadística (numpy, semilla 2026).</t>
  </si>
  <si>
    <t xml:space="preserve">NO proceden de fuentes de inteligencia, ni describen unidades, sistemas ni operaciones reales.</t>
  </si>
  <si>
    <t xml:space="preserve">Los nombres de modelo son ficticios y las cifras son plausibles pero inventadas. Uso exclusivo:</t>
  </si>
  <si>
    <t xml:space="preserve">práctica de análisis exploratorio de datos, dashboards y visualización.</t>
  </si>
  <si>
    <t xml:space="preserve">Contenido del libro</t>
  </si>
  <si>
    <t xml:space="preserve">Datos    · 500 aeronaves, una por fila, 15 columnas (14 de datos + 1 calculada con fórmula).</t>
  </si>
  <si>
    <t xml:space="preserve">Resumen  · indicadores y tablas agregadas por clase, sector e interferencia GNSS.</t>
  </si>
  <si>
    <t xml:space="preserve">           Todas las celdas del resumen son fórmulas vivas sobre la hoja Datos:</t>
  </si>
  <si>
    <t xml:space="preserve">           si filtras, editas o amplías los datos, el resumen se recalcula solo.</t>
  </si>
  <si>
    <t xml:space="preserve">Diccionario de datos</t>
  </si>
  <si>
    <t xml:space="preserve">Columna</t>
  </si>
  <si>
    <t xml:space="preserve">Tipo</t>
  </si>
  <si>
    <t xml:space="preserve">Unidad</t>
  </si>
  <si>
    <t xml:space="preserve">Descripción</t>
  </si>
  <si>
    <t xml:space="preserve">ID_Dron</t>
  </si>
  <si>
    <t xml:space="preserve">Texto</t>
  </si>
  <si>
    <t xml:space="preserve">—</t>
  </si>
  <si>
    <t xml:space="preserve">Identificador único de la aeronave (DRN_0000 … DRN_0499).</t>
  </si>
  <si>
    <t xml:space="preserve">Modelo</t>
  </si>
  <si>
    <t xml:space="preserve">Denominación ficticia del modelo; 14 modelos repartidos entre las 6 clases.</t>
  </si>
  <si>
    <t xml:space="preserve">Clase</t>
  </si>
  <si>
    <t xml:space="preserve">Reconocimiento ISR, FPV de ataque, Bombardero nocturno, Ala fija largo alcance, Interceptor antidrón, Logístico.</t>
  </si>
  <si>
    <t xml:space="preserve">Origen</t>
  </si>
  <si>
    <t xml:space="preserve">País de fabricación declarado (6 categorías).</t>
  </si>
  <si>
    <t xml:space="preserve">Sector_Frente</t>
  </si>
  <si>
    <t xml:space="preserve">Zona de despliegue (6 sectores + Retaguardia).</t>
  </si>
  <si>
    <t xml:space="preserve">Fecha_Alta</t>
  </si>
  <si>
    <t xml:space="preserve">Fecha</t>
  </si>
  <si>
    <t xml:space="preserve">AAAA-MM-DD</t>
  </si>
  <si>
    <t xml:space="preserve">Entrada en servicio de la unidad; entre 2025-01-15 y 2026-05-29.</t>
  </si>
  <si>
    <t xml:space="preserve">Autonomia_Min</t>
  </si>
  <si>
    <t xml:space="preserve">Número</t>
  </si>
  <si>
    <t xml:space="preserve">minutos</t>
  </si>
  <si>
    <t xml:space="preserve">Tiempo de vuelo nominal por salida.</t>
  </si>
  <si>
    <t xml:space="preserve">Alcance_km</t>
  </si>
  <si>
    <t xml:space="preserve">km</t>
  </si>
  <si>
    <t xml:space="preserve">Radio de operación nominal.</t>
  </si>
  <si>
    <t xml:space="preserve">Misiones_Mensuales</t>
  </si>
  <si>
    <t xml:space="preserve">Entero</t>
  </si>
  <si>
    <t xml:space="preserve">misiones/mes</t>
  </si>
  <si>
    <t xml:space="preserve">Ritmo medio de salidas mensuales.</t>
  </si>
  <si>
    <t xml:space="preserve">Horas_Vuelo_Acumuladas</t>
  </si>
  <si>
    <t xml:space="preserve">horas</t>
  </si>
  <si>
    <t xml:space="preserve">Horas totales desde el alta; función de misiones, autonomía y meses en servicio.</t>
  </si>
  <si>
    <t xml:space="preserve">Tasa_Exito_Mision_Pct</t>
  </si>
  <si>
    <t xml:space="preserve">%</t>
  </si>
  <si>
    <t xml:space="preserve">Porcentaje de misiones completadas; penalizado por la interferencia GNSS.</t>
  </si>
  <si>
    <t xml:space="preserve">Interferencia_GNSS</t>
  </si>
  <si>
    <t xml:space="preserve">escala</t>
  </si>
  <si>
    <t xml:space="preserve">Presión de guerra electrónica: Baja &lt; Media &lt; Alta &lt; Muy Alta.</t>
  </si>
  <si>
    <t xml:space="preserve">Coste_Unitario_USD</t>
  </si>
  <si>
    <t xml:space="preserve">USD</t>
  </si>
  <si>
    <t xml:space="preserve">Coste de reposición de la aeronave.</t>
  </si>
  <si>
    <t xml:space="preserve">Estado</t>
  </si>
  <si>
    <t xml:space="preserve">Operativo, En mantenimiento, Perdido o Retirado.</t>
  </si>
  <si>
    <t xml:space="preserve">Coste_por_Mision_USD</t>
  </si>
  <si>
    <t xml:space="preserve">Fórmula</t>
  </si>
  <si>
    <t xml:space="preserve">USD/misión</t>
  </si>
  <si>
    <t xml:space="preserve">Calculada en la hoja Datos: coste unitario ÷ misiones mensuales.</t>
  </si>
  <si>
    <t xml:space="preserve">Relaciones incorporadas a la simulación (útiles para validar el EDA)</t>
  </si>
  <si>
    <t xml:space="preserve">· La energía del ritmo operativo: las horas de vuelo crecen con misiones × meses en servicio × autonomía.</t>
  </si>
  <si>
    <t xml:space="preserve">· La interferencia GNSS reduce la tasa de éxito (Baja ≈ 73% frente a Muy Alta ≈ 57% de media).</t>
  </si>
  <si>
    <t xml:space="preserve">· Donetsk y Zaporiyia concentran la interferencia alta, y con ella una mayor proporción de pérdidas.</t>
  </si>
  <si>
    <t xml:space="preserve">· El FPV de ataque es la clase más barata y con mayor riesgo; el ala fija, la más cara y de mayor alcance.</t>
  </si>
  <si>
    <t xml:space="preserve">DRN_0000</t>
  </si>
  <si>
    <t xml:space="preserve">Vigía-X4</t>
  </si>
  <si>
    <t xml:space="preserve">Reconocimiento ISR</t>
  </si>
  <si>
    <t xml:space="preserve">Polonia</t>
  </si>
  <si>
    <t xml:space="preserve">Járkiv</t>
  </si>
  <si>
    <t xml:space="preserve">2025-04-04</t>
  </si>
  <si>
    <t xml:space="preserve">Alta</t>
  </si>
  <si>
    <t xml:space="preserve">Operativo</t>
  </si>
  <si>
    <t xml:space="preserve">DRN_0001</t>
  </si>
  <si>
    <t xml:space="preserve">Nocturno-H8</t>
  </si>
  <si>
    <t xml:space="preserve">Bombardero nocturno</t>
  </si>
  <si>
    <t xml:space="preserve">Ucrania</t>
  </si>
  <si>
    <t xml:space="preserve">Donetsk</t>
  </si>
  <si>
    <t xml:space="preserve">2026-02-17</t>
  </si>
  <si>
    <t xml:space="preserve">Perdido</t>
  </si>
  <si>
    <t xml:space="preserve">DRN_0002</t>
  </si>
  <si>
    <t xml:space="preserve">Osa-7</t>
  </si>
  <si>
    <t xml:space="preserve">FPV de ataque</t>
  </si>
  <si>
    <t xml:space="preserve">China (comercial)</t>
  </si>
  <si>
    <t xml:space="preserve">Sumy</t>
  </si>
  <si>
    <t xml:space="preserve">2026-03-18</t>
  </si>
  <si>
    <t xml:space="preserve">Baja</t>
  </si>
  <si>
    <t xml:space="preserve">DRN_0003</t>
  </si>
  <si>
    <t xml:space="preserve">Kvadro-FPV Mk3</t>
  </si>
  <si>
    <t xml:space="preserve">Jersón</t>
  </si>
  <si>
    <t xml:space="preserve">2025-11-14</t>
  </si>
  <si>
    <t xml:space="preserve">DRN_0004</t>
  </si>
  <si>
    <t xml:space="preserve">Kvadro-FPV Mk5</t>
  </si>
  <si>
    <t xml:space="preserve">2026-04-18</t>
  </si>
  <si>
    <t xml:space="preserve">DRN_0005</t>
  </si>
  <si>
    <t xml:space="preserve">Sokil-INT3</t>
  </si>
  <si>
    <t xml:space="preserve">Interceptor antidrón</t>
  </si>
  <si>
    <t xml:space="preserve">Lugansk</t>
  </si>
  <si>
    <t xml:space="preserve">2025-11-26</t>
  </si>
  <si>
    <t xml:space="preserve">DRN_0006</t>
  </si>
  <si>
    <t xml:space="preserve">Mula-L4</t>
  </si>
  <si>
    <t xml:space="preserve">Logístico</t>
  </si>
  <si>
    <t xml:space="preserve">2025-09-03</t>
  </si>
  <si>
    <t xml:space="preserve">Media</t>
  </si>
  <si>
    <t xml:space="preserve">DRN_0007</t>
  </si>
  <si>
    <t xml:space="preserve">Vigía-X2</t>
  </si>
  <si>
    <t xml:space="preserve">Zaporiyia</t>
  </si>
  <si>
    <t xml:space="preserve">2025-03-13</t>
  </si>
  <si>
    <t xml:space="preserve">Muy Alta</t>
  </si>
  <si>
    <t xml:space="preserve">DRN_0008</t>
  </si>
  <si>
    <t xml:space="preserve">Nocturno-H6</t>
  </si>
  <si>
    <t xml:space="preserve">2025-08-03</t>
  </si>
  <si>
    <t xml:space="preserve">DRN_0009</t>
  </si>
  <si>
    <t xml:space="preserve">2026-03-26</t>
  </si>
  <si>
    <t xml:space="preserve">DRN_0010</t>
  </si>
  <si>
    <t xml:space="preserve">Retaguardia</t>
  </si>
  <si>
    <t xml:space="preserve">2026-02-04</t>
  </si>
  <si>
    <t xml:space="preserve">DRN_0011</t>
  </si>
  <si>
    <t xml:space="preserve">Mula-L2</t>
  </si>
  <si>
    <t xml:space="preserve">2025-08-01</t>
  </si>
  <si>
    <t xml:space="preserve">DRN_0012</t>
  </si>
  <si>
    <t xml:space="preserve">Turquía</t>
  </si>
  <si>
    <t xml:space="preserve">2026-04-26</t>
  </si>
  <si>
    <t xml:space="preserve">DRN_0013</t>
  </si>
  <si>
    <t xml:space="preserve">Halcón-LR1</t>
  </si>
  <si>
    <t xml:space="preserve">Ala fija largo alcance</t>
  </si>
  <si>
    <t xml:space="preserve">EE. UU.</t>
  </si>
  <si>
    <t xml:space="preserve">2025-07-26</t>
  </si>
  <si>
    <t xml:space="preserve">DRN_0014</t>
  </si>
  <si>
    <t xml:space="preserve">Alemania</t>
  </si>
  <si>
    <t xml:space="preserve">2025-02-05</t>
  </si>
  <si>
    <t xml:space="preserve">DRN_0015</t>
  </si>
  <si>
    <t xml:space="preserve">Sokil-INT1</t>
  </si>
  <si>
    <t xml:space="preserve">2026-03-20</t>
  </si>
  <si>
    <t xml:space="preserve">En mantenimiento</t>
  </si>
  <si>
    <t xml:space="preserve">DRN_0016</t>
  </si>
  <si>
    <t xml:space="preserve">2026-03-16</t>
  </si>
  <si>
    <t xml:space="preserve">Retirado</t>
  </si>
  <si>
    <t xml:space="preserve">DRN_0017</t>
  </si>
  <si>
    <t xml:space="preserve">2025-05-31</t>
  </si>
  <si>
    <t xml:space="preserve">DRN_0018</t>
  </si>
  <si>
    <t xml:space="preserve">2025-10-08</t>
  </si>
  <si>
    <t xml:space="preserve">DRN_0019</t>
  </si>
  <si>
    <t xml:space="preserve">DRN_0020</t>
  </si>
  <si>
    <t xml:space="preserve">2025-03-15</t>
  </si>
  <si>
    <t xml:space="preserve">DRN_0021</t>
  </si>
  <si>
    <t xml:space="preserve">2025-05-03</t>
  </si>
  <si>
    <t xml:space="preserve">DRN_0022</t>
  </si>
  <si>
    <t xml:space="preserve">2025-01-31</t>
  </si>
  <si>
    <t xml:space="preserve">DRN_0023</t>
  </si>
  <si>
    <t xml:space="preserve">2026-04-23</t>
  </si>
  <si>
    <t xml:space="preserve">DRN_0024</t>
  </si>
  <si>
    <t xml:space="preserve">2025-03-18</t>
  </si>
  <si>
    <t xml:space="preserve">DRN_0025</t>
  </si>
  <si>
    <t xml:space="preserve">2025-06-16</t>
  </si>
  <si>
    <t xml:space="preserve">DRN_0026</t>
  </si>
  <si>
    <t xml:space="preserve">2026-03-13</t>
  </si>
  <si>
    <t xml:space="preserve">DRN_0027</t>
  </si>
  <si>
    <t xml:space="preserve">2026-03-21</t>
  </si>
  <si>
    <t xml:space="preserve">DRN_0028</t>
  </si>
  <si>
    <t xml:space="preserve">2025-11-13</t>
  </si>
  <si>
    <t xml:space="preserve">DRN_0029</t>
  </si>
  <si>
    <t xml:space="preserve">2025-01-30</t>
  </si>
  <si>
    <t xml:space="preserve">DRN_0030</t>
  </si>
  <si>
    <t xml:space="preserve">Otarnia-R1</t>
  </si>
  <si>
    <t xml:space="preserve">2026-05-02</t>
  </si>
  <si>
    <t xml:space="preserve">DRN_0031</t>
  </si>
  <si>
    <t xml:space="preserve">2025-09-24</t>
  </si>
  <si>
    <t xml:space="preserve">DRN_0032</t>
  </si>
  <si>
    <t xml:space="preserve">2025-01-24</t>
  </si>
  <si>
    <t xml:space="preserve">DRN_0033</t>
  </si>
  <si>
    <t xml:space="preserve">2026-01-31</t>
  </si>
  <si>
    <t xml:space="preserve">DRN_0034</t>
  </si>
  <si>
    <t xml:space="preserve">2025-08-15</t>
  </si>
  <si>
    <t xml:space="preserve">DRN_0035</t>
  </si>
  <si>
    <t xml:space="preserve">2025-06-13</t>
  </si>
  <si>
    <t xml:space="preserve">DRN_0036</t>
  </si>
  <si>
    <t xml:space="preserve">2025-02-01</t>
  </si>
  <si>
    <t xml:space="preserve">DRN_0037</t>
  </si>
  <si>
    <t xml:space="preserve">2025-02-18</t>
  </si>
  <si>
    <t xml:space="preserve">DRN_0038</t>
  </si>
  <si>
    <t xml:space="preserve">2026-04-29</t>
  </si>
  <si>
    <t xml:space="preserve">DRN_0039</t>
  </si>
  <si>
    <t xml:space="preserve">2025-07-23</t>
  </si>
  <si>
    <t xml:space="preserve">DRN_0040</t>
  </si>
  <si>
    <t xml:space="preserve">2025-08-11</t>
  </si>
  <si>
    <t xml:space="preserve">DRN_0041</t>
  </si>
  <si>
    <t xml:space="preserve">2025-10-15</t>
  </si>
  <si>
    <t xml:space="preserve">DRN_0042</t>
  </si>
  <si>
    <t xml:space="preserve">2025-08-17</t>
  </si>
  <si>
    <t xml:space="preserve">DRN_0043</t>
  </si>
  <si>
    <t xml:space="preserve">Halcón-LR2</t>
  </si>
  <si>
    <t xml:space="preserve">2025-02-08</t>
  </si>
  <si>
    <t xml:space="preserve">DRN_0044</t>
  </si>
  <si>
    <t xml:space="preserve">2026-02-15</t>
  </si>
  <si>
    <t xml:space="preserve">DRN_0045</t>
  </si>
  <si>
    <t xml:space="preserve">2025-04-14</t>
  </si>
  <si>
    <t xml:space="preserve">DRN_0046</t>
  </si>
  <si>
    <t xml:space="preserve">2025-11-05</t>
  </si>
  <si>
    <t xml:space="preserve">DRN_0047</t>
  </si>
  <si>
    <t xml:space="preserve">2025-11-03</t>
  </si>
  <si>
    <t xml:space="preserve">DRN_0048</t>
  </si>
  <si>
    <t xml:space="preserve">2025-04-06</t>
  </si>
  <si>
    <t xml:space="preserve">DRN_0049</t>
  </si>
  <si>
    <t xml:space="preserve">DRN_0050</t>
  </si>
  <si>
    <t xml:space="preserve">2025-04-21</t>
  </si>
  <si>
    <t xml:space="preserve">DRN_0051</t>
  </si>
  <si>
    <t xml:space="preserve">2026-01-06</t>
  </si>
  <si>
    <t xml:space="preserve">DRN_0052</t>
  </si>
  <si>
    <t xml:space="preserve">2026-01-13</t>
  </si>
  <si>
    <t xml:space="preserve">DRN_0053</t>
  </si>
  <si>
    <t xml:space="preserve">2025-06-14</t>
  </si>
  <si>
    <t xml:space="preserve">DRN_0054</t>
  </si>
  <si>
    <t xml:space="preserve">2025-12-19</t>
  </si>
  <si>
    <t xml:space="preserve">DRN_0055</t>
  </si>
  <si>
    <t xml:space="preserve">2025-10-14</t>
  </si>
  <si>
    <t xml:space="preserve">DRN_0056</t>
  </si>
  <si>
    <t xml:space="preserve">2025-06-07</t>
  </si>
  <si>
    <t xml:space="preserve">DRN_0057</t>
  </si>
  <si>
    <t xml:space="preserve">2026-01-05</t>
  </si>
  <si>
    <t xml:space="preserve">DRN_0058</t>
  </si>
  <si>
    <t xml:space="preserve">2025-02-14</t>
  </si>
  <si>
    <t xml:space="preserve">DRN_0059</t>
  </si>
  <si>
    <t xml:space="preserve">2025-11-27</t>
  </si>
  <si>
    <t xml:space="preserve">DRN_0060</t>
  </si>
  <si>
    <t xml:space="preserve">DRN_0061</t>
  </si>
  <si>
    <t xml:space="preserve">2026-01-20</t>
  </si>
  <si>
    <t xml:space="preserve">DRN_0062</t>
  </si>
  <si>
    <t xml:space="preserve">2025-05-27</t>
  </si>
  <si>
    <t xml:space="preserve">DRN_0063</t>
  </si>
  <si>
    <t xml:space="preserve">DRN_0064</t>
  </si>
  <si>
    <t xml:space="preserve">2026-05-24</t>
  </si>
  <si>
    <t xml:space="preserve">DRN_0065</t>
  </si>
  <si>
    <t xml:space="preserve">2025-12-05</t>
  </si>
  <si>
    <t xml:space="preserve">DRN_0066</t>
  </si>
  <si>
    <t xml:space="preserve">2025-12-21</t>
  </si>
  <si>
    <t xml:space="preserve">DRN_0067</t>
  </si>
  <si>
    <t xml:space="preserve">2025-04-19</t>
  </si>
  <si>
    <t xml:space="preserve">DRN_0068</t>
  </si>
  <si>
    <t xml:space="preserve">2025-09-25</t>
  </si>
  <si>
    <t xml:space="preserve">DRN_0069</t>
  </si>
  <si>
    <t xml:space="preserve">2025-07-31</t>
  </si>
  <si>
    <t xml:space="preserve">DRN_0070</t>
  </si>
  <si>
    <t xml:space="preserve">DRN_0071</t>
  </si>
  <si>
    <t xml:space="preserve">DRN_0072</t>
  </si>
  <si>
    <t xml:space="preserve">2025-08-13</t>
  </si>
  <si>
    <t xml:space="preserve">DRN_0073</t>
  </si>
  <si>
    <t xml:space="preserve">DRN_0074</t>
  </si>
  <si>
    <t xml:space="preserve">2026-03-12</t>
  </si>
  <si>
    <t xml:space="preserve">DRN_0075</t>
  </si>
  <si>
    <t xml:space="preserve">2025-03-28</t>
  </si>
  <si>
    <t xml:space="preserve">DRN_0076</t>
  </si>
  <si>
    <t xml:space="preserve">2025-10-13</t>
  </si>
  <si>
    <t xml:space="preserve">DRN_0077</t>
  </si>
  <si>
    <t xml:space="preserve">2025-03-04</t>
  </si>
  <si>
    <t xml:space="preserve">DRN_0078</t>
  </si>
  <si>
    <t xml:space="preserve">2026-05-16</t>
  </si>
  <si>
    <t xml:space="preserve">DRN_0079</t>
  </si>
  <si>
    <t xml:space="preserve">2025-05-25</t>
  </si>
  <si>
    <t xml:space="preserve">DRN_0080</t>
  </si>
  <si>
    <t xml:space="preserve">DRN_0081</t>
  </si>
  <si>
    <t xml:space="preserve">2026-01-09</t>
  </si>
  <si>
    <t xml:space="preserve">DRN_0082</t>
  </si>
  <si>
    <t xml:space="preserve">DRN_0083</t>
  </si>
  <si>
    <t xml:space="preserve">2025-06-18</t>
  </si>
  <si>
    <t xml:space="preserve">DRN_0084</t>
  </si>
  <si>
    <t xml:space="preserve">DRN_0085</t>
  </si>
  <si>
    <t xml:space="preserve">DRN_0086</t>
  </si>
  <si>
    <t xml:space="preserve">2025-07-21</t>
  </si>
  <si>
    <t xml:space="preserve">DRN_0087</t>
  </si>
  <si>
    <t xml:space="preserve">2026-04-06</t>
  </si>
  <si>
    <t xml:space="preserve">DRN_0088</t>
  </si>
  <si>
    <t xml:space="preserve">2025-12-09</t>
  </si>
  <si>
    <t xml:space="preserve">DRN_0089</t>
  </si>
  <si>
    <t xml:space="preserve">DRN_0090</t>
  </si>
  <si>
    <t xml:space="preserve">DRN_0091</t>
  </si>
  <si>
    <t xml:space="preserve">2025-06-19</t>
  </si>
  <si>
    <t xml:space="preserve">DRN_0092</t>
  </si>
  <si>
    <t xml:space="preserve">2026-04-05</t>
  </si>
  <si>
    <t xml:space="preserve">DRN_0093</t>
  </si>
  <si>
    <t xml:space="preserve">DRN_0094</t>
  </si>
  <si>
    <t xml:space="preserve">2026-04-16</t>
  </si>
  <si>
    <t xml:space="preserve">DRN_0095</t>
  </si>
  <si>
    <t xml:space="preserve">2025-01-21</t>
  </si>
  <si>
    <t xml:space="preserve">DRN_0096</t>
  </si>
  <si>
    <t xml:space="preserve">2025-04-16</t>
  </si>
  <si>
    <t xml:space="preserve">DRN_0097</t>
  </si>
  <si>
    <t xml:space="preserve">DRN_0098</t>
  </si>
  <si>
    <t xml:space="preserve">DRN_0099</t>
  </si>
  <si>
    <t xml:space="preserve">2025-03-24</t>
  </si>
  <si>
    <t xml:space="preserve">DRN_0100</t>
  </si>
  <si>
    <t xml:space="preserve">2025-03-11</t>
  </si>
  <si>
    <t xml:space="preserve">DRN_0101</t>
  </si>
  <si>
    <t xml:space="preserve">2026-05-03</t>
  </si>
  <si>
    <t xml:space="preserve">DRN_0102</t>
  </si>
  <si>
    <t xml:space="preserve">2025-07-24</t>
  </si>
  <si>
    <t xml:space="preserve">DRN_0103</t>
  </si>
  <si>
    <t xml:space="preserve">2026-04-30</t>
  </si>
  <si>
    <t xml:space="preserve">DRN_0104</t>
  </si>
  <si>
    <t xml:space="preserve">2026-01-11</t>
  </si>
  <si>
    <t xml:space="preserve">DRN_0105</t>
  </si>
  <si>
    <t xml:space="preserve">2025-07-18</t>
  </si>
  <si>
    <t xml:space="preserve">DRN_0106</t>
  </si>
  <si>
    <t xml:space="preserve">2025-09-15</t>
  </si>
  <si>
    <t xml:space="preserve">DRN_0107</t>
  </si>
  <si>
    <t xml:space="preserve">2025-08-20</t>
  </si>
  <si>
    <t xml:space="preserve">DRN_0108</t>
  </si>
  <si>
    <t xml:space="preserve">DRN_0109</t>
  </si>
  <si>
    <t xml:space="preserve">2025-12-12</t>
  </si>
  <si>
    <t xml:space="preserve">DRN_0110</t>
  </si>
  <si>
    <t xml:space="preserve">DRN_0111</t>
  </si>
  <si>
    <t xml:space="preserve">2025-10-17</t>
  </si>
  <si>
    <t xml:space="preserve">DRN_0112</t>
  </si>
  <si>
    <t xml:space="preserve">2026-01-08</t>
  </si>
  <si>
    <t xml:space="preserve">DRN_0113</t>
  </si>
  <si>
    <t xml:space="preserve">2026-05-09</t>
  </si>
  <si>
    <t xml:space="preserve">DRN_0114</t>
  </si>
  <si>
    <t xml:space="preserve">2025-10-25</t>
  </si>
  <si>
    <t xml:space="preserve">DRN_0115</t>
  </si>
  <si>
    <t xml:space="preserve">2026-04-01</t>
  </si>
  <si>
    <t xml:space="preserve">DRN_0116</t>
  </si>
  <si>
    <t xml:space="preserve">2025-09-12</t>
  </si>
  <si>
    <t xml:space="preserve">DRN_0117</t>
  </si>
  <si>
    <t xml:space="preserve">2026-03-17</t>
  </si>
  <si>
    <t xml:space="preserve">DRN_0118</t>
  </si>
  <si>
    <t xml:space="preserve">2026-05-22</t>
  </si>
  <si>
    <t xml:space="preserve">DRN_0119</t>
  </si>
  <si>
    <t xml:space="preserve">2025-09-10</t>
  </si>
  <si>
    <t xml:space="preserve">DRN_0120</t>
  </si>
  <si>
    <t xml:space="preserve">2025-12-30</t>
  </si>
  <si>
    <t xml:space="preserve">DRN_0121</t>
  </si>
  <si>
    <t xml:space="preserve">DRN_0122</t>
  </si>
  <si>
    <t xml:space="preserve">2026-04-10</t>
  </si>
  <si>
    <t xml:space="preserve">DRN_0123</t>
  </si>
  <si>
    <t xml:space="preserve">2025-04-10</t>
  </si>
  <si>
    <t xml:space="preserve">DRN_0124</t>
  </si>
  <si>
    <t xml:space="preserve">2026-01-25</t>
  </si>
  <si>
    <t xml:space="preserve">DRN_0125</t>
  </si>
  <si>
    <t xml:space="preserve">DRN_0126</t>
  </si>
  <si>
    <t xml:space="preserve">2025-06-30</t>
  </si>
  <si>
    <t xml:space="preserve">DRN_0127</t>
  </si>
  <si>
    <t xml:space="preserve">2025-08-12</t>
  </si>
  <si>
    <t xml:space="preserve">DRN_0128</t>
  </si>
  <si>
    <t xml:space="preserve">DRN_0129</t>
  </si>
  <si>
    <t xml:space="preserve">2026-01-07</t>
  </si>
  <si>
    <t xml:space="preserve">DRN_0130</t>
  </si>
  <si>
    <t xml:space="preserve">2026-01-02</t>
  </si>
  <si>
    <t xml:space="preserve">DRN_0131</t>
  </si>
  <si>
    <t xml:space="preserve">2025-06-06</t>
  </si>
  <si>
    <t xml:space="preserve">DRN_0132</t>
  </si>
  <si>
    <t xml:space="preserve">2025-03-01</t>
  </si>
  <si>
    <t xml:space="preserve">DRN_0133</t>
  </si>
  <si>
    <t xml:space="preserve">2026-03-22</t>
  </si>
  <si>
    <t xml:space="preserve">DRN_0134</t>
  </si>
  <si>
    <t xml:space="preserve">DRN_0135</t>
  </si>
  <si>
    <t xml:space="preserve">DRN_0136</t>
  </si>
  <si>
    <t xml:space="preserve">2026-05-04</t>
  </si>
  <si>
    <t xml:space="preserve">DRN_0137</t>
  </si>
  <si>
    <t xml:space="preserve">2025-09-29</t>
  </si>
  <si>
    <t xml:space="preserve">DRN_0138</t>
  </si>
  <si>
    <t xml:space="preserve">2025-11-22</t>
  </si>
  <si>
    <t xml:space="preserve">DRN_0139</t>
  </si>
  <si>
    <t xml:space="preserve">2025-09-19</t>
  </si>
  <si>
    <t xml:space="preserve">DRN_0140</t>
  </si>
  <si>
    <t xml:space="preserve">2025-04-29</t>
  </si>
  <si>
    <t xml:space="preserve">DRN_0141</t>
  </si>
  <si>
    <t xml:space="preserve">2025-01-25</t>
  </si>
  <si>
    <t xml:space="preserve">DRN_0142</t>
  </si>
  <si>
    <t xml:space="preserve">DRN_0143</t>
  </si>
  <si>
    <t xml:space="preserve">2025-11-30</t>
  </si>
  <si>
    <t xml:space="preserve">DRN_0144</t>
  </si>
  <si>
    <t xml:space="preserve">2025-12-27</t>
  </si>
  <si>
    <t xml:space="preserve">DRN_0145</t>
  </si>
  <si>
    <t xml:space="preserve">2025-07-14</t>
  </si>
  <si>
    <t xml:space="preserve">DRN_0146</t>
  </si>
  <si>
    <t xml:space="preserve">2025-07-16</t>
  </si>
  <si>
    <t xml:space="preserve">DRN_0147</t>
  </si>
  <si>
    <t xml:space="preserve">2025-11-08</t>
  </si>
  <si>
    <t xml:space="preserve">DRN_0148</t>
  </si>
  <si>
    <t xml:space="preserve">2026-02-18</t>
  </si>
  <si>
    <t xml:space="preserve">DRN_0149</t>
  </si>
  <si>
    <t xml:space="preserve">2026-02-02</t>
  </si>
  <si>
    <t xml:space="preserve">DRN_0150</t>
  </si>
  <si>
    <t xml:space="preserve">DRN_0151</t>
  </si>
  <si>
    <t xml:space="preserve">DRN_0152</t>
  </si>
  <si>
    <t xml:space="preserve">2025-10-05</t>
  </si>
  <si>
    <t xml:space="preserve">DRN_0153</t>
  </si>
  <si>
    <t xml:space="preserve">2025-03-14</t>
  </si>
  <si>
    <t xml:space="preserve">DRN_0154</t>
  </si>
  <si>
    <t xml:space="preserve">2026-02-19</t>
  </si>
  <si>
    <t xml:space="preserve">DRN_0155</t>
  </si>
  <si>
    <t xml:space="preserve">2025-10-19</t>
  </si>
  <si>
    <t xml:space="preserve">DRN_0156</t>
  </si>
  <si>
    <t xml:space="preserve">2025-02-16</t>
  </si>
  <si>
    <t xml:space="preserve">DRN_0157</t>
  </si>
  <si>
    <t xml:space="preserve">2025-08-27</t>
  </si>
  <si>
    <t xml:space="preserve">DRN_0158</t>
  </si>
  <si>
    <t xml:space="preserve">DRN_0159</t>
  </si>
  <si>
    <t xml:space="preserve">2025-05-12</t>
  </si>
  <si>
    <t xml:space="preserve">DRN_0160</t>
  </si>
  <si>
    <t xml:space="preserve">2026-02-01</t>
  </si>
  <si>
    <t xml:space="preserve">DRN_0161</t>
  </si>
  <si>
    <t xml:space="preserve">DRN_0162</t>
  </si>
  <si>
    <t xml:space="preserve">2025-02-21</t>
  </si>
  <si>
    <t xml:space="preserve">DRN_0163</t>
  </si>
  <si>
    <t xml:space="preserve">2026-03-27</t>
  </si>
  <si>
    <t xml:space="preserve">DRN_0164</t>
  </si>
  <si>
    <t xml:space="preserve">2025-05-17</t>
  </si>
  <si>
    <t xml:space="preserve">DRN_0165</t>
  </si>
  <si>
    <t xml:space="preserve">2026-01-22</t>
  </si>
  <si>
    <t xml:space="preserve">DRN_0166</t>
  </si>
  <si>
    <t xml:space="preserve">DRN_0167</t>
  </si>
  <si>
    <t xml:space="preserve">DRN_0168</t>
  </si>
  <si>
    <t xml:space="preserve">DRN_0169</t>
  </si>
  <si>
    <t xml:space="preserve">2025-10-11</t>
  </si>
  <si>
    <t xml:space="preserve">DRN_0170</t>
  </si>
  <si>
    <t xml:space="preserve">2025-08-10</t>
  </si>
  <si>
    <t xml:space="preserve">DRN_0171</t>
  </si>
  <si>
    <t xml:space="preserve">2026-03-10</t>
  </si>
  <si>
    <t xml:space="preserve">DRN_0172</t>
  </si>
  <si>
    <t xml:space="preserve">2026-03-07</t>
  </si>
  <si>
    <t xml:space="preserve">DRN_0173</t>
  </si>
  <si>
    <t xml:space="preserve">2026-05-05</t>
  </si>
  <si>
    <t xml:space="preserve">DRN_0174</t>
  </si>
  <si>
    <t xml:space="preserve">2025-10-26</t>
  </si>
  <si>
    <t xml:space="preserve">DRN_0175</t>
  </si>
  <si>
    <t xml:space="preserve">2025-09-22</t>
  </si>
  <si>
    <t xml:space="preserve">DRN_0176</t>
  </si>
  <si>
    <t xml:space="preserve">DRN_0177</t>
  </si>
  <si>
    <t xml:space="preserve">2025-12-20</t>
  </si>
  <si>
    <t xml:space="preserve">DRN_0178</t>
  </si>
  <si>
    <t xml:space="preserve">DRN_0179</t>
  </si>
  <si>
    <t xml:space="preserve">2025-03-22</t>
  </si>
  <si>
    <t xml:space="preserve">DRN_0180</t>
  </si>
  <si>
    <t xml:space="preserve">2025-12-24</t>
  </si>
  <si>
    <t xml:space="preserve">DRN_0181</t>
  </si>
  <si>
    <t xml:space="preserve">2025-12-11</t>
  </si>
  <si>
    <t xml:space="preserve">DRN_0182</t>
  </si>
  <si>
    <t xml:space="preserve">2025-05-23</t>
  </si>
  <si>
    <t xml:space="preserve">DRN_0183</t>
  </si>
  <si>
    <t xml:space="preserve">2026-01-10</t>
  </si>
  <si>
    <t xml:space="preserve">DRN_0184</t>
  </si>
  <si>
    <t xml:space="preserve">2026-05-25</t>
  </si>
  <si>
    <t xml:space="preserve">DRN_0185</t>
  </si>
  <si>
    <t xml:space="preserve">2026-02-13</t>
  </si>
  <si>
    <t xml:space="preserve">DRN_0186</t>
  </si>
  <si>
    <t xml:space="preserve">2026-04-11</t>
  </si>
  <si>
    <t xml:space="preserve">DRN_0187</t>
  </si>
  <si>
    <t xml:space="preserve">2026-05-29</t>
  </si>
  <si>
    <t xml:space="preserve">DRN_0188</t>
  </si>
  <si>
    <t xml:space="preserve">2025-05-10</t>
  </si>
  <si>
    <t xml:space="preserve">DRN_0189</t>
  </si>
  <si>
    <t xml:space="preserve">2026-04-12</t>
  </si>
  <si>
    <t xml:space="preserve">DRN_0190</t>
  </si>
  <si>
    <t xml:space="preserve">2026-05-14</t>
  </si>
  <si>
    <t xml:space="preserve">DRN_0191</t>
  </si>
  <si>
    <t xml:space="preserve">2025-03-19</t>
  </si>
  <si>
    <t xml:space="preserve">DRN_0192</t>
  </si>
  <si>
    <t xml:space="preserve">2025-09-30</t>
  </si>
  <si>
    <t xml:space="preserve">DRN_0193</t>
  </si>
  <si>
    <t xml:space="preserve">DRN_0194</t>
  </si>
  <si>
    <t xml:space="preserve">2025-07-09</t>
  </si>
  <si>
    <t xml:space="preserve">DRN_0195</t>
  </si>
  <si>
    <t xml:space="preserve">2025-11-09</t>
  </si>
  <si>
    <t xml:space="preserve">DRN_0196</t>
  </si>
  <si>
    <t xml:space="preserve">DRN_0197</t>
  </si>
  <si>
    <t xml:space="preserve">2025-02-12</t>
  </si>
  <si>
    <t xml:space="preserve">DRN_0198</t>
  </si>
  <si>
    <t xml:space="preserve">DRN_0199</t>
  </si>
  <si>
    <t xml:space="preserve">2026-04-02</t>
  </si>
  <si>
    <t xml:space="preserve">DRN_0200</t>
  </si>
  <si>
    <t xml:space="preserve">2025-09-13</t>
  </si>
  <si>
    <t xml:space="preserve">DRN_0201</t>
  </si>
  <si>
    <t xml:space="preserve">DRN_0202</t>
  </si>
  <si>
    <t xml:space="preserve">2025-11-04</t>
  </si>
  <si>
    <t xml:space="preserve">DRN_0203</t>
  </si>
  <si>
    <t xml:space="preserve">DRN_0204</t>
  </si>
  <si>
    <t xml:space="preserve">DRN_0205</t>
  </si>
  <si>
    <t xml:space="preserve">2025-04-05</t>
  </si>
  <si>
    <t xml:space="preserve">DRN_0206</t>
  </si>
  <si>
    <t xml:space="preserve">2026-04-22</t>
  </si>
  <si>
    <t xml:space="preserve">DRN_0207</t>
  </si>
  <si>
    <t xml:space="preserve">DRN_0208</t>
  </si>
  <si>
    <t xml:space="preserve">2025-12-03</t>
  </si>
  <si>
    <t xml:space="preserve">DRN_0209</t>
  </si>
  <si>
    <t xml:space="preserve">DRN_0210</t>
  </si>
  <si>
    <t xml:space="preserve">2025-09-05</t>
  </si>
  <si>
    <t xml:space="preserve">DRN_0211</t>
  </si>
  <si>
    <t xml:space="preserve">2025-06-12</t>
  </si>
  <si>
    <t xml:space="preserve">DRN_0212</t>
  </si>
  <si>
    <t xml:space="preserve">2026-03-24</t>
  </si>
  <si>
    <t xml:space="preserve">DRN_0213</t>
  </si>
  <si>
    <t xml:space="preserve">2025-03-12</t>
  </si>
  <si>
    <t xml:space="preserve">DRN_0214</t>
  </si>
  <si>
    <t xml:space="preserve">DRN_0215</t>
  </si>
  <si>
    <t xml:space="preserve">DRN_0216</t>
  </si>
  <si>
    <t xml:space="preserve">DRN_0217</t>
  </si>
  <si>
    <t xml:space="preserve">2025-03-07</t>
  </si>
  <si>
    <t xml:space="preserve">DRN_0218</t>
  </si>
  <si>
    <t xml:space="preserve">2025-02-11</t>
  </si>
  <si>
    <t xml:space="preserve">DRN_0219</t>
  </si>
  <si>
    <t xml:space="preserve">2025-12-13</t>
  </si>
  <si>
    <t xml:space="preserve">DRN_0220</t>
  </si>
  <si>
    <t xml:space="preserve">DRN_0221</t>
  </si>
  <si>
    <t xml:space="preserve">2025-04-18</t>
  </si>
  <si>
    <t xml:space="preserve">DRN_0222</t>
  </si>
  <si>
    <t xml:space="preserve">DRN_0223</t>
  </si>
  <si>
    <t xml:space="preserve">2025-06-09</t>
  </si>
  <si>
    <t xml:space="preserve">DRN_0224</t>
  </si>
  <si>
    <t xml:space="preserve">DRN_0225</t>
  </si>
  <si>
    <t xml:space="preserve">2026-01-16</t>
  </si>
  <si>
    <t xml:space="preserve">DRN_0226</t>
  </si>
  <si>
    <t xml:space="preserve">2025-06-15</t>
  </si>
  <si>
    <t xml:space="preserve">DRN_0227</t>
  </si>
  <si>
    <t xml:space="preserve">2026-02-16</t>
  </si>
  <si>
    <t xml:space="preserve">DRN_0228</t>
  </si>
  <si>
    <t xml:space="preserve">DRN_0229</t>
  </si>
  <si>
    <t xml:space="preserve">DRN_0230</t>
  </si>
  <si>
    <t xml:space="preserve">2026-02-03</t>
  </si>
  <si>
    <t xml:space="preserve">DRN_0231</t>
  </si>
  <si>
    <t xml:space="preserve">2025-05-21</t>
  </si>
  <si>
    <t xml:space="preserve">DRN_0232</t>
  </si>
  <si>
    <t xml:space="preserve">2025-10-29</t>
  </si>
  <si>
    <t xml:space="preserve">DRN_0233</t>
  </si>
  <si>
    <t xml:space="preserve">DRN_0234</t>
  </si>
  <si>
    <t xml:space="preserve">DRN_0235</t>
  </si>
  <si>
    <t xml:space="preserve">2025-10-06</t>
  </si>
  <si>
    <t xml:space="preserve">DRN_0236</t>
  </si>
  <si>
    <t xml:space="preserve">DRN_0237</t>
  </si>
  <si>
    <t xml:space="preserve">2025-10-28</t>
  </si>
  <si>
    <t xml:space="preserve">DRN_0238</t>
  </si>
  <si>
    <t xml:space="preserve">2025-11-18</t>
  </si>
  <si>
    <t xml:space="preserve">DRN_0239</t>
  </si>
  <si>
    <t xml:space="preserve">DRN_0240</t>
  </si>
  <si>
    <t xml:space="preserve">DRN_0241</t>
  </si>
  <si>
    <t xml:space="preserve">2025-03-08</t>
  </si>
  <si>
    <t xml:space="preserve">DRN_0242</t>
  </si>
  <si>
    <t xml:space="preserve">2025-09-08</t>
  </si>
  <si>
    <t xml:space="preserve">DRN_0243</t>
  </si>
  <si>
    <t xml:space="preserve">2025-11-24</t>
  </si>
  <si>
    <t xml:space="preserve">DRN_0244</t>
  </si>
  <si>
    <t xml:space="preserve">2025-04-13</t>
  </si>
  <si>
    <t xml:space="preserve">DRN_0245</t>
  </si>
  <si>
    <t xml:space="preserve">2025-04-24</t>
  </si>
  <si>
    <t xml:space="preserve">DRN_0246</t>
  </si>
  <si>
    <t xml:space="preserve">2025-09-09</t>
  </si>
  <si>
    <t xml:space="preserve">DRN_0247</t>
  </si>
  <si>
    <t xml:space="preserve">DRN_0248</t>
  </si>
  <si>
    <t xml:space="preserve">2026-05-21</t>
  </si>
  <si>
    <t xml:space="preserve">DRN_0249</t>
  </si>
  <si>
    <t xml:space="preserve">2025-01-28</t>
  </si>
  <si>
    <t xml:space="preserve">DRN_0250</t>
  </si>
  <si>
    <t xml:space="preserve">DRN_0251</t>
  </si>
  <si>
    <t xml:space="preserve">2025-02-02</t>
  </si>
  <si>
    <t xml:space="preserve">DRN_0252</t>
  </si>
  <si>
    <t xml:space="preserve">DRN_0253</t>
  </si>
  <si>
    <t xml:space="preserve">DRN_0254</t>
  </si>
  <si>
    <t xml:space="preserve">2025-07-02</t>
  </si>
  <si>
    <t xml:space="preserve">DRN_0255</t>
  </si>
  <si>
    <t xml:space="preserve">2025-08-07</t>
  </si>
  <si>
    <t xml:space="preserve">DRN_0256</t>
  </si>
  <si>
    <t xml:space="preserve">2025-02-10</t>
  </si>
  <si>
    <t xml:space="preserve">DRN_0257</t>
  </si>
  <si>
    <t xml:space="preserve">DRN_0258</t>
  </si>
  <si>
    <t xml:space="preserve">2026-01-12</t>
  </si>
  <si>
    <t xml:space="preserve">DRN_0259</t>
  </si>
  <si>
    <t xml:space="preserve">2026-05-20</t>
  </si>
  <si>
    <t xml:space="preserve">DRN_0260</t>
  </si>
  <si>
    <t xml:space="preserve">DRN_0261</t>
  </si>
  <si>
    <t xml:space="preserve">2026-04-13</t>
  </si>
  <si>
    <t xml:space="preserve">DRN_0262</t>
  </si>
  <si>
    <t xml:space="preserve">DRN_0263</t>
  </si>
  <si>
    <t xml:space="preserve">2025-12-08</t>
  </si>
  <si>
    <t xml:space="preserve">DRN_0264</t>
  </si>
  <si>
    <t xml:space="preserve">DRN_0265</t>
  </si>
  <si>
    <t xml:space="preserve">DRN_0266</t>
  </si>
  <si>
    <t xml:space="preserve">DRN_0267</t>
  </si>
  <si>
    <t xml:space="preserve">2025-07-17</t>
  </si>
  <si>
    <t xml:space="preserve">DRN_0268</t>
  </si>
  <si>
    <t xml:space="preserve">DRN_0269</t>
  </si>
  <si>
    <t xml:space="preserve">2025-11-02</t>
  </si>
  <si>
    <t xml:space="preserve">DRN_0270</t>
  </si>
  <si>
    <t xml:space="preserve">DRN_0271</t>
  </si>
  <si>
    <t xml:space="preserve">DRN_0272</t>
  </si>
  <si>
    <t xml:space="preserve">2025-10-21</t>
  </si>
  <si>
    <t xml:space="preserve">DRN_0273</t>
  </si>
  <si>
    <t xml:space="preserve">DRN_0274</t>
  </si>
  <si>
    <t xml:space="preserve">2025-03-23</t>
  </si>
  <si>
    <t xml:space="preserve">DRN_0275</t>
  </si>
  <si>
    <t xml:space="preserve">2025-05-13</t>
  </si>
  <si>
    <t xml:space="preserve">DRN_0276</t>
  </si>
  <si>
    <t xml:space="preserve">2025-05-28</t>
  </si>
  <si>
    <t xml:space="preserve">DRN_0277</t>
  </si>
  <si>
    <t xml:space="preserve">2025-02-07</t>
  </si>
  <si>
    <t xml:space="preserve">DRN_0278</t>
  </si>
  <si>
    <t xml:space="preserve">2025-08-08</t>
  </si>
  <si>
    <t xml:space="preserve">DRN_0279</t>
  </si>
  <si>
    <t xml:space="preserve">DRN_0280</t>
  </si>
  <si>
    <t xml:space="preserve">2025-05-22</t>
  </si>
  <si>
    <t xml:space="preserve">DRN_0281</t>
  </si>
  <si>
    <t xml:space="preserve">2026-03-30</t>
  </si>
  <si>
    <t xml:space="preserve">DRN_0282</t>
  </si>
  <si>
    <t xml:space="preserve">2025-06-28</t>
  </si>
  <si>
    <t xml:space="preserve">DRN_0283</t>
  </si>
  <si>
    <t xml:space="preserve">DRN_0284</t>
  </si>
  <si>
    <t xml:space="preserve">2025-04-08</t>
  </si>
  <si>
    <t xml:space="preserve">DRN_0285</t>
  </si>
  <si>
    <t xml:space="preserve">2026-02-12</t>
  </si>
  <si>
    <t xml:space="preserve">DRN_0286</t>
  </si>
  <si>
    <t xml:space="preserve">2025-10-04</t>
  </si>
  <si>
    <t xml:space="preserve">DRN_0287</t>
  </si>
  <si>
    <t xml:space="preserve">DRN_0288</t>
  </si>
  <si>
    <t xml:space="preserve">2025-02-13</t>
  </si>
  <si>
    <t xml:space="preserve">DRN_0289</t>
  </si>
  <si>
    <t xml:space="preserve">2025-10-24</t>
  </si>
  <si>
    <t xml:space="preserve">DRN_0290</t>
  </si>
  <si>
    <t xml:space="preserve">DRN_0291</t>
  </si>
  <si>
    <t xml:space="preserve">2025-08-16</t>
  </si>
  <si>
    <t xml:space="preserve">DRN_0292</t>
  </si>
  <si>
    <t xml:space="preserve">2026-01-19</t>
  </si>
  <si>
    <t xml:space="preserve">DRN_0293</t>
  </si>
  <si>
    <t xml:space="preserve">2025-06-20</t>
  </si>
  <si>
    <t xml:space="preserve">DRN_0294</t>
  </si>
  <si>
    <t xml:space="preserve">2025-02-25</t>
  </si>
  <si>
    <t xml:space="preserve">DRN_0295</t>
  </si>
  <si>
    <t xml:space="preserve">DRN_0296</t>
  </si>
  <si>
    <t xml:space="preserve">DRN_0297</t>
  </si>
  <si>
    <t xml:space="preserve">DRN_0298</t>
  </si>
  <si>
    <t xml:space="preserve">2026-03-06</t>
  </si>
  <si>
    <t xml:space="preserve">DRN_0299</t>
  </si>
  <si>
    <t xml:space="preserve">DRN_0300</t>
  </si>
  <si>
    <t xml:space="preserve">2025-05-11</t>
  </si>
  <si>
    <t xml:space="preserve">DRN_0301</t>
  </si>
  <si>
    <t xml:space="preserve">2025-11-23</t>
  </si>
  <si>
    <t xml:space="preserve">DRN_0302</t>
  </si>
  <si>
    <t xml:space="preserve">DRN_0303</t>
  </si>
  <si>
    <t xml:space="preserve">2026-05-26</t>
  </si>
  <si>
    <t xml:space="preserve">DRN_0304</t>
  </si>
  <si>
    <t xml:space="preserve">2025-01-15</t>
  </si>
  <si>
    <t xml:space="preserve">DRN_0305</t>
  </si>
  <si>
    <t xml:space="preserve">DRN_0306</t>
  </si>
  <si>
    <t xml:space="preserve">DRN_0307</t>
  </si>
  <si>
    <t xml:space="preserve">DRN_0308</t>
  </si>
  <si>
    <t xml:space="preserve">DRN_0309</t>
  </si>
  <si>
    <t xml:space="preserve">DRN_0310</t>
  </si>
  <si>
    <t xml:space="preserve">2025-01-18</t>
  </si>
  <si>
    <t xml:space="preserve">DRN_0311</t>
  </si>
  <si>
    <t xml:space="preserve">DRN_0312</t>
  </si>
  <si>
    <t xml:space="preserve">2025-10-31</t>
  </si>
  <si>
    <t xml:space="preserve">DRN_0313</t>
  </si>
  <si>
    <t xml:space="preserve">DRN_0314</t>
  </si>
  <si>
    <t xml:space="preserve">2025-11-20</t>
  </si>
  <si>
    <t xml:space="preserve">DRN_0315</t>
  </si>
  <si>
    <t xml:space="preserve">2025-07-15</t>
  </si>
  <si>
    <t xml:space="preserve">DRN_0316</t>
  </si>
  <si>
    <t xml:space="preserve">2025-01-20</t>
  </si>
  <si>
    <t xml:space="preserve">DRN_0317</t>
  </si>
  <si>
    <t xml:space="preserve">2025-04-22</t>
  </si>
  <si>
    <t xml:space="preserve">DRN_0318</t>
  </si>
  <si>
    <t xml:space="preserve">DRN_0319</t>
  </si>
  <si>
    <t xml:space="preserve">2026-01-14</t>
  </si>
  <si>
    <t xml:space="preserve">DRN_0320</t>
  </si>
  <si>
    <t xml:space="preserve">DRN_0321</t>
  </si>
  <si>
    <t xml:space="preserve">DRN_0322</t>
  </si>
  <si>
    <t xml:space="preserve">DRN_0323</t>
  </si>
  <si>
    <t xml:space="preserve">2025-05-24</t>
  </si>
  <si>
    <t xml:space="preserve">DRN_0324</t>
  </si>
  <si>
    <t xml:space="preserve">DRN_0325</t>
  </si>
  <si>
    <t xml:space="preserve">2025-11-19</t>
  </si>
  <si>
    <t xml:space="preserve">DRN_0326</t>
  </si>
  <si>
    <t xml:space="preserve">DRN_0327</t>
  </si>
  <si>
    <t xml:space="preserve">2025-11-21</t>
  </si>
  <si>
    <t xml:space="preserve">DRN_0328</t>
  </si>
  <si>
    <t xml:space="preserve">DRN_0329</t>
  </si>
  <si>
    <t xml:space="preserve">DRN_0330</t>
  </si>
  <si>
    <t xml:space="preserve">DRN_0331</t>
  </si>
  <si>
    <t xml:space="preserve">2025-03-05</t>
  </si>
  <si>
    <t xml:space="preserve">DRN_0332</t>
  </si>
  <si>
    <t xml:space="preserve">DRN_0333</t>
  </si>
  <si>
    <t xml:space="preserve">DRN_0334</t>
  </si>
  <si>
    <t xml:space="preserve">DRN_0335</t>
  </si>
  <si>
    <t xml:space="preserve">2025-11-28</t>
  </si>
  <si>
    <t xml:space="preserve">DRN_0336</t>
  </si>
  <si>
    <t xml:space="preserve">DRN_0337</t>
  </si>
  <si>
    <t xml:space="preserve">2025-09-18</t>
  </si>
  <si>
    <t xml:space="preserve">DRN_0338</t>
  </si>
  <si>
    <t xml:space="preserve">2025-07-27</t>
  </si>
  <si>
    <t xml:space="preserve">DRN_0339</t>
  </si>
  <si>
    <t xml:space="preserve">2025-11-07</t>
  </si>
  <si>
    <t xml:space="preserve">DRN_0340</t>
  </si>
  <si>
    <t xml:space="preserve">2025-06-11</t>
  </si>
  <si>
    <t xml:space="preserve">DRN_0341</t>
  </si>
  <si>
    <t xml:space="preserve">DRN_0342</t>
  </si>
  <si>
    <t xml:space="preserve">2025-10-22</t>
  </si>
  <si>
    <t xml:space="preserve">DRN_0343</t>
  </si>
  <si>
    <t xml:space="preserve">2026-05-07</t>
  </si>
  <si>
    <t xml:space="preserve">DRN_0344</t>
  </si>
  <si>
    <t xml:space="preserve">2026-01-27</t>
  </si>
  <si>
    <t xml:space="preserve">DRN_0345</t>
  </si>
  <si>
    <t xml:space="preserve">2025-08-04</t>
  </si>
  <si>
    <t xml:space="preserve">DRN_0346</t>
  </si>
  <si>
    <t xml:space="preserve">DRN_0347</t>
  </si>
  <si>
    <t xml:space="preserve">2025-06-23</t>
  </si>
  <si>
    <t xml:space="preserve">DRN_0348</t>
  </si>
  <si>
    <t xml:space="preserve">2025-09-17</t>
  </si>
  <si>
    <t xml:space="preserve">DRN_0349</t>
  </si>
  <si>
    <t xml:space="preserve">DRN_0350</t>
  </si>
  <si>
    <t xml:space="preserve">DRN_0351</t>
  </si>
  <si>
    <t xml:space="preserve">2025-02-20</t>
  </si>
  <si>
    <t xml:space="preserve">DRN_0352</t>
  </si>
  <si>
    <t xml:space="preserve">DRN_0353</t>
  </si>
  <si>
    <t xml:space="preserve">2026-02-10</t>
  </si>
  <si>
    <t xml:space="preserve">DRN_0354</t>
  </si>
  <si>
    <t xml:space="preserve">2025-08-29</t>
  </si>
  <si>
    <t xml:space="preserve">DRN_0355</t>
  </si>
  <si>
    <t xml:space="preserve">2025-06-27</t>
  </si>
  <si>
    <t xml:space="preserve">DRN_0356</t>
  </si>
  <si>
    <t xml:space="preserve">2025-10-20</t>
  </si>
  <si>
    <t xml:space="preserve">DRN_0357</t>
  </si>
  <si>
    <t xml:space="preserve">2025-10-10</t>
  </si>
  <si>
    <t xml:space="preserve">DRN_0358</t>
  </si>
  <si>
    <t xml:space="preserve">2025-02-22</t>
  </si>
  <si>
    <t xml:space="preserve">DRN_0359</t>
  </si>
  <si>
    <t xml:space="preserve">DRN_0360</t>
  </si>
  <si>
    <t xml:space="preserve">2025-06-08</t>
  </si>
  <si>
    <t xml:space="preserve">DRN_0361</t>
  </si>
  <si>
    <t xml:space="preserve">DRN_0362</t>
  </si>
  <si>
    <t xml:space="preserve">2026-01-04</t>
  </si>
  <si>
    <t xml:space="preserve">DRN_0363</t>
  </si>
  <si>
    <t xml:space="preserve">2025-10-27</t>
  </si>
  <si>
    <t xml:space="preserve">DRN_0364</t>
  </si>
  <si>
    <t xml:space="preserve">2025-11-17</t>
  </si>
  <si>
    <t xml:space="preserve">DRN_0365</t>
  </si>
  <si>
    <t xml:space="preserve">DRN_0366</t>
  </si>
  <si>
    <t xml:space="preserve">DRN_0367</t>
  </si>
  <si>
    <t xml:space="preserve">DRN_0368</t>
  </si>
  <si>
    <t xml:space="preserve">2026-02-22</t>
  </si>
  <si>
    <t xml:space="preserve">DRN_0369</t>
  </si>
  <si>
    <t xml:space="preserve">2025-05-19</t>
  </si>
  <si>
    <t xml:space="preserve">DRN_0370</t>
  </si>
  <si>
    <t xml:space="preserve">2026-02-26</t>
  </si>
  <si>
    <t xml:space="preserve">DRN_0371</t>
  </si>
  <si>
    <t xml:space="preserve">2026-03-09</t>
  </si>
  <si>
    <t xml:space="preserve">DRN_0372</t>
  </si>
  <si>
    <t xml:space="preserve">DRN_0373</t>
  </si>
  <si>
    <t xml:space="preserve">2025-10-16</t>
  </si>
  <si>
    <t xml:space="preserve">DRN_0374</t>
  </si>
  <si>
    <t xml:space="preserve">DRN_0375</t>
  </si>
  <si>
    <t xml:space="preserve">2025-08-05</t>
  </si>
  <si>
    <t xml:space="preserve">DRN_0376</t>
  </si>
  <si>
    <t xml:space="preserve">2025-05-09</t>
  </si>
  <si>
    <t xml:space="preserve">DRN_0377</t>
  </si>
  <si>
    <t xml:space="preserve">DRN_0378</t>
  </si>
  <si>
    <t xml:space="preserve">2025-05-08</t>
  </si>
  <si>
    <t xml:space="preserve">DRN_0379</t>
  </si>
  <si>
    <t xml:space="preserve">2025-03-09</t>
  </si>
  <si>
    <t xml:space="preserve">DRN_0380</t>
  </si>
  <si>
    <t xml:space="preserve">2026-03-11</t>
  </si>
  <si>
    <t xml:space="preserve">DRN_0381</t>
  </si>
  <si>
    <t xml:space="preserve">2025-07-11</t>
  </si>
  <si>
    <t xml:space="preserve">DRN_0382</t>
  </si>
  <si>
    <t xml:space="preserve">2025-09-04</t>
  </si>
  <si>
    <t xml:space="preserve">DRN_0383</t>
  </si>
  <si>
    <t xml:space="preserve">2025-12-01</t>
  </si>
  <si>
    <t xml:space="preserve">DRN_0384</t>
  </si>
  <si>
    <t xml:space="preserve">2025-11-15</t>
  </si>
  <si>
    <t xml:space="preserve">DRN_0385</t>
  </si>
  <si>
    <t xml:space="preserve">2025-03-17</t>
  </si>
  <si>
    <t xml:space="preserve">DRN_0386</t>
  </si>
  <si>
    <t xml:space="preserve">2026-05-17</t>
  </si>
  <si>
    <t xml:space="preserve">DRN_0387</t>
  </si>
  <si>
    <t xml:space="preserve">DRN_0388</t>
  </si>
  <si>
    <t xml:space="preserve">DRN_0389</t>
  </si>
  <si>
    <t xml:space="preserve">DRN_0390</t>
  </si>
  <si>
    <t xml:space="preserve">DRN_0391</t>
  </si>
  <si>
    <t xml:space="preserve">2025-11-06</t>
  </si>
  <si>
    <t xml:space="preserve">DRN_0392</t>
  </si>
  <si>
    <t xml:space="preserve">DRN_0393</t>
  </si>
  <si>
    <t xml:space="preserve">2025-07-12</t>
  </si>
  <si>
    <t xml:space="preserve">DRN_0394</t>
  </si>
  <si>
    <t xml:space="preserve">DRN_0395</t>
  </si>
  <si>
    <t xml:space="preserve">2025-02-03</t>
  </si>
  <si>
    <t xml:space="preserve">DRN_0396</t>
  </si>
  <si>
    <t xml:space="preserve">2025-05-05</t>
  </si>
  <si>
    <t xml:space="preserve">DRN_0397</t>
  </si>
  <si>
    <t xml:space="preserve">DRN_0398</t>
  </si>
  <si>
    <t xml:space="preserve">DRN_0399</t>
  </si>
  <si>
    <t xml:space="preserve">DRN_0400</t>
  </si>
  <si>
    <t xml:space="preserve">DRN_0401</t>
  </si>
  <si>
    <t xml:space="preserve">DRN_0402</t>
  </si>
  <si>
    <t xml:space="preserve">DRN_0403</t>
  </si>
  <si>
    <t xml:space="preserve">2025-01-26</t>
  </si>
  <si>
    <t xml:space="preserve">DRN_0404</t>
  </si>
  <si>
    <t xml:space="preserve">DRN_0405</t>
  </si>
  <si>
    <t xml:space="preserve">2026-02-06</t>
  </si>
  <si>
    <t xml:space="preserve">DRN_0406</t>
  </si>
  <si>
    <t xml:space="preserve">DRN_0407</t>
  </si>
  <si>
    <t xml:space="preserve">2026-05-23</t>
  </si>
  <si>
    <t xml:space="preserve">DRN_0408</t>
  </si>
  <si>
    <t xml:space="preserve">DRN_0409</t>
  </si>
  <si>
    <t xml:space="preserve">DRN_0410</t>
  </si>
  <si>
    <t xml:space="preserve">2025-07-20</t>
  </si>
  <si>
    <t xml:space="preserve">DRN_0411</t>
  </si>
  <si>
    <t xml:space="preserve">DRN_0412</t>
  </si>
  <si>
    <t xml:space="preserve">2025-02-27</t>
  </si>
  <si>
    <t xml:space="preserve">DRN_0413</t>
  </si>
  <si>
    <t xml:space="preserve">DRN_0414</t>
  </si>
  <si>
    <t xml:space="preserve">DRN_0415</t>
  </si>
  <si>
    <t xml:space="preserve">2025-05-02</t>
  </si>
  <si>
    <t xml:space="preserve">DRN_0416</t>
  </si>
  <si>
    <t xml:space="preserve">DRN_0417</t>
  </si>
  <si>
    <t xml:space="preserve">2026-01-23</t>
  </si>
  <si>
    <t xml:space="preserve">DRN_0418</t>
  </si>
  <si>
    <t xml:space="preserve">2025-11-10</t>
  </si>
  <si>
    <t xml:space="preserve">DRN_0419</t>
  </si>
  <si>
    <t xml:space="preserve">2026-02-27</t>
  </si>
  <si>
    <t xml:space="preserve">DRN_0420</t>
  </si>
  <si>
    <t xml:space="preserve">2026-03-23</t>
  </si>
  <si>
    <t xml:space="preserve">DRN_0421</t>
  </si>
  <si>
    <t xml:space="preserve">2026-04-08</t>
  </si>
  <si>
    <t xml:space="preserve">DRN_0422</t>
  </si>
  <si>
    <t xml:space="preserve">DRN_0423</t>
  </si>
  <si>
    <t xml:space="preserve">2025-12-25</t>
  </si>
  <si>
    <t xml:space="preserve">DRN_0424</t>
  </si>
  <si>
    <t xml:space="preserve">2025-07-22</t>
  </si>
  <si>
    <t xml:space="preserve">DRN_0425</t>
  </si>
  <si>
    <t xml:space="preserve">2025-03-27</t>
  </si>
  <si>
    <t xml:space="preserve">DRN_0426</t>
  </si>
  <si>
    <t xml:space="preserve">2026-01-18</t>
  </si>
  <si>
    <t xml:space="preserve">DRN_0427</t>
  </si>
  <si>
    <t xml:space="preserve">DRN_0428</t>
  </si>
  <si>
    <t xml:space="preserve">DRN_0429</t>
  </si>
  <si>
    <t xml:space="preserve">DRN_0430</t>
  </si>
  <si>
    <t xml:space="preserve">DRN_0431</t>
  </si>
  <si>
    <t xml:space="preserve">DRN_0432</t>
  </si>
  <si>
    <t xml:space="preserve">2026-05-19</t>
  </si>
  <si>
    <t xml:space="preserve">DRN_0433</t>
  </si>
  <si>
    <t xml:space="preserve">DRN_0434</t>
  </si>
  <si>
    <t xml:space="preserve">2025-04-02</t>
  </si>
  <si>
    <t xml:space="preserve">DRN_0435</t>
  </si>
  <si>
    <t xml:space="preserve">DRN_0436</t>
  </si>
  <si>
    <t xml:space="preserve">DRN_0437</t>
  </si>
  <si>
    <t xml:space="preserve">2025-10-12</t>
  </si>
  <si>
    <t xml:space="preserve">DRN_0438</t>
  </si>
  <si>
    <t xml:space="preserve">2025-12-31</t>
  </si>
  <si>
    <t xml:space="preserve">DRN_0439</t>
  </si>
  <si>
    <t xml:space="preserve">DRN_0440</t>
  </si>
  <si>
    <t xml:space="preserve">DRN_0441</t>
  </si>
  <si>
    <t xml:space="preserve">DRN_0442</t>
  </si>
  <si>
    <t xml:space="preserve">2025-04-03</t>
  </si>
  <si>
    <t xml:space="preserve">DRN_0443</t>
  </si>
  <si>
    <t xml:space="preserve">DRN_0444</t>
  </si>
  <si>
    <t xml:space="preserve">2025-08-18</t>
  </si>
  <si>
    <t xml:space="preserve">DRN_0445</t>
  </si>
  <si>
    <t xml:space="preserve">DRN_0446</t>
  </si>
  <si>
    <t xml:space="preserve">DRN_0447</t>
  </si>
  <si>
    <t xml:space="preserve">2025-02-24</t>
  </si>
  <si>
    <t xml:space="preserve">DRN_0448</t>
  </si>
  <si>
    <t xml:space="preserve">2025-08-14</t>
  </si>
  <si>
    <t xml:space="preserve">DRN_0449</t>
  </si>
  <si>
    <t xml:space="preserve">2026-03-29</t>
  </si>
  <si>
    <t xml:space="preserve">DRN_0450</t>
  </si>
  <si>
    <t xml:space="preserve">DRN_0451</t>
  </si>
  <si>
    <t xml:space="preserve">DRN_0452</t>
  </si>
  <si>
    <t xml:space="preserve">DRN_0453</t>
  </si>
  <si>
    <t xml:space="preserve">DRN_0454</t>
  </si>
  <si>
    <t xml:space="preserve">DRN_0455</t>
  </si>
  <si>
    <t xml:space="preserve">DRN_0456</t>
  </si>
  <si>
    <t xml:space="preserve">2025-01-19</t>
  </si>
  <si>
    <t xml:space="preserve">DRN_0457</t>
  </si>
  <si>
    <t xml:space="preserve">2025-04-26</t>
  </si>
  <si>
    <t xml:space="preserve">DRN_0458</t>
  </si>
  <si>
    <t xml:space="preserve">2026-01-15</t>
  </si>
  <si>
    <t xml:space="preserve">DRN_0459</t>
  </si>
  <si>
    <t xml:space="preserve">DRN_0460</t>
  </si>
  <si>
    <t xml:space="preserve">DRN_0461</t>
  </si>
  <si>
    <t xml:space="preserve">DRN_0462</t>
  </si>
  <si>
    <t xml:space="preserve">2025-07-29</t>
  </si>
  <si>
    <t xml:space="preserve">DRN_0463</t>
  </si>
  <si>
    <t xml:space="preserve">2025-10-07</t>
  </si>
  <si>
    <t xml:space="preserve">DRN_0464</t>
  </si>
  <si>
    <t xml:space="preserve">DRN_0465</t>
  </si>
  <si>
    <t xml:space="preserve">2025-04-27</t>
  </si>
  <si>
    <t xml:space="preserve">DRN_0466</t>
  </si>
  <si>
    <t xml:space="preserve">DRN_0467</t>
  </si>
  <si>
    <t xml:space="preserve">2025-02-23</t>
  </si>
  <si>
    <t xml:space="preserve">DRN_0468</t>
  </si>
  <si>
    <t xml:space="preserve">DRN_0469</t>
  </si>
  <si>
    <t xml:space="preserve">2025-01-27</t>
  </si>
  <si>
    <t xml:space="preserve">DRN_0470</t>
  </si>
  <si>
    <t xml:space="preserve">DRN_0471</t>
  </si>
  <si>
    <t xml:space="preserve">2026-01-03</t>
  </si>
  <si>
    <t xml:space="preserve">DRN_0472</t>
  </si>
  <si>
    <t xml:space="preserve">2025-03-03</t>
  </si>
  <si>
    <t xml:space="preserve">DRN_0473</t>
  </si>
  <si>
    <t xml:space="preserve">2025-09-23</t>
  </si>
  <si>
    <t xml:space="preserve">DRN_0474</t>
  </si>
  <si>
    <t xml:space="preserve">2025-12-07</t>
  </si>
  <si>
    <t xml:space="preserve">DRN_0475</t>
  </si>
  <si>
    <t xml:space="preserve">2025-06-05</t>
  </si>
  <si>
    <t xml:space="preserve">DRN_0476</t>
  </si>
  <si>
    <t xml:space="preserve">DRN_0477</t>
  </si>
  <si>
    <t xml:space="preserve">DRN_0478</t>
  </si>
  <si>
    <t xml:space="preserve">2026-02-28</t>
  </si>
  <si>
    <t xml:space="preserve">DRN_0479</t>
  </si>
  <si>
    <t xml:space="preserve">DRN_0480</t>
  </si>
  <si>
    <t xml:space="preserve">DRN_0481</t>
  </si>
  <si>
    <t xml:space="preserve">2025-12-18</t>
  </si>
  <si>
    <t xml:space="preserve">DRN_0482</t>
  </si>
  <si>
    <t xml:space="preserve">DRN_0483</t>
  </si>
  <si>
    <t xml:space="preserve">DRN_0484</t>
  </si>
  <si>
    <t xml:space="preserve">2025-06-17</t>
  </si>
  <si>
    <t xml:space="preserve">DRN_0485</t>
  </si>
  <si>
    <t xml:space="preserve">DRN_0486</t>
  </si>
  <si>
    <t xml:space="preserve">DRN_0487</t>
  </si>
  <si>
    <t xml:space="preserve">2025-06-25</t>
  </si>
  <si>
    <t xml:space="preserve">DRN_0488</t>
  </si>
  <si>
    <t xml:space="preserve">2025-06-10</t>
  </si>
  <si>
    <t xml:space="preserve">DRN_0489</t>
  </si>
  <si>
    <t xml:space="preserve">2026-01-26</t>
  </si>
  <si>
    <t xml:space="preserve">DRN_0490</t>
  </si>
  <si>
    <t xml:space="preserve">2025-03-21</t>
  </si>
  <si>
    <t xml:space="preserve">DRN_0491</t>
  </si>
  <si>
    <t xml:space="preserve">DRN_0492</t>
  </si>
  <si>
    <t xml:space="preserve">DRN_0493</t>
  </si>
  <si>
    <t xml:space="preserve">2025-08-09</t>
  </si>
  <si>
    <t xml:space="preserve">DRN_0494</t>
  </si>
  <si>
    <t xml:space="preserve">2025-02-28</t>
  </si>
  <si>
    <t xml:space="preserve">DRN_0495</t>
  </si>
  <si>
    <t xml:space="preserve">DRN_0496</t>
  </si>
  <si>
    <t xml:space="preserve">DRN_0497</t>
  </si>
  <si>
    <t xml:space="preserve">DRN_0498</t>
  </si>
  <si>
    <t xml:space="preserve">DRN_0499</t>
  </si>
  <si>
    <t xml:space="preserve">2025-05-01</t>
  </si>
  <si>
    <t xml:space="preserve">Resumen de la flota</t>
  </si>
  <si>
    <t xml:space="preserve">Todas las cifras son fórmulas sobre la hoja Datos (rango A2:O501).</t>
  </si>
  <si>
    <t xml:space="preserve">Indicadores generales</t>
  </si>
  <si>
    <t xml:space="preserve">Aeronaves registradas</t>
  </si>
  <si>
    <t xml:space="preserve">Operativas</t>
  </si>
  <si>
    <t xml:space="preserve">Perdidas</t>
  </si>
  <si>
    <t xml:space="preserve">Tasa de pérdida</t>
  </si>
  <si>
    <t xml:space="preserve">Misiones mensuales (total)</t>
  </si>
  <si>
    <t xml:space="preserve">Horas de vuelo acumuladas</t>
  </si>
  <si>
    <t xml:space="preserve">Tasa de éxito media</t>
  </si>
  <si>
    <t xml:space="preserve">Valor de reposición de la flota</t>
  </si>
  <si>
    <t xml:space="preserve">Coste medio por misión</t>
  </si>
  <si>
    <t xml:space="preserve">Por clase de dron</t>
  </si>
  <si>
    <t xml:space="preserve">Unidades</t>
  </si>
  <si>
    <t xml:space="preserve">% flota</t>
  </si>
  <si>
    <t xml:space="preserve">Misiones/mes</t>
  </si>
  <si>
    <t xml:space="preserve">Éxito medio</t>
  </si>
  <si>
    <t xml:space="preserve">Coste unitario medio</t>
  </si>
  <si>
    <t xml:space="preserve">% perdidas</t>
  </si>
  <si>
    <t xml:space="preserve">TOTAL</t>
  </si>
  <si>
    <t xml:space="preserve">Por sector del frente</t>
  </si>
  <si>
    <t xml:space="preserve">Sector</t>
  </si>
  <si>
    <t xml:space="preserve">Por nivel de interferencia GNSS</t>
  </si>
  <si>
    <t xml:space="preserve">Interferencia GNSS</t>
  </si>
  <si>
    <t xml:space="preserve">Por origen del fabricante</t>
  </si>
  <si>
    <t xml:space="preserve">Nota: datos sintéticos generados por simulación; ninguna cifra procede de fuentes reales.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</si>
</sst>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"/>
    <numFmt numFmtId="167" formatCode="0.0"/>
    <numFmt numFmtId="168" formatCode="\$#,##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Drones" displayName="TablaDrones" ref="A1:O501" headerRowCount="1" totalsRowCount="0" totalsRowShown="0">
  <autoFilter ref="A1:O501"/>
  <tableColumns count="15">
    <tableColumn id="1" name="ID_Dron"/>
    <tableColumn id="2" name="Modelo"/>
    <tableColumn id="3" name="Clase"/>
    <tableColumn id="4" name="Origen"/>
    <tableColumn id="5" name="Sector_Frente"/>
    <tableColumn id="6" name="Fecha_Alta"/>
    <tableColumn id="7" name="Autonomia_Min"/>
    <tableColumn id="8" name="Alcance_km"/>
    <tableColumn id="9" name="Misiones_Mensuales"/>
    <tableColumn id="10" name="Horas_Vuelo_Acumuladas"/>
    <tableColumn id="11" name="Tasa_Exito_Mision_Pct"/>
    <tableColumn id="12" name="Interferencia_GNSS"/>
    <tableColumn id="13" name="Coste_Unitario_USD"/>
    <tableColumn id="14" name="Estado"/>
    <tableColumn id="15" name="Coste_por_Mision_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7" customFormat="false" ht="15" hidden="false" customHeight="false" outlineLevel="0" collapsed="false">
      <c r="A17" s="4" t="s">
        <v>12</v>
      </c>
      <c r="B17" s="4" t="s">
        <v>13</v>
      </c>
      <c r="C17" s="4" t="s">
        <v>14</v>
      </c>
      <c r="D17" s="5" t="s">
        <v>15</v>
      </c>
    </row>
    <row r="18" customFormat="false" ht="15" hidden="false" customHeight="false" outlineLevel="0" collapsed="false">
      <c r="A18" s="6" t="s">
        <v>16</v>
      </c>
      <c r="B18" s="6" t="s">
        <v>17</v>
      </c>
      <c r="C18" s="6" t="s">
        <v>18</v>
      </c>
      <c r="D18" s="7" t="s">
        <v>19</v>
      </c>
    </row>
    <row r="19" customFormat="false" ht="15" hidden="false" customHeight="false" outlineLevel="0" collapsed="false">
      <c r="A19" s="8" t="s">
        <v>20</v>
      </c>
      <c r="B19" s="8" t="s">
        <v>17</v>
      </c>
      <c r="C19" s="8" t="s">
        <v>18</v>
      </c>
      <c r="D19" s="9" t="s">
        <v>21</v>
      </c>
    </row>
    <row r="20" customFormat="false" ht="23.85" hidden="false" customHeight="false" outlineLevel="0" collapsed="false">
      <c r="A20" s="6" t="s">
        <v>22</v>
      </c>
      <c r="B20" s="6" t="s">
        <v>17</v>
      </c>
      <c r="C20" s="6" t="s">
        <v>18</v>
      </c>
      <c r="D20" s="7" t="s">
        <v>23</v>
      </c>
    </row>
    <row r="21" customFormat="false" ht="15" hidden="false" customHeight="false" outlineLevel="0" collapsed="false">
      <c r="A21" s="8" t="s">
        <v>24</v>
      </c>
      <c r="B21" s="8" t="s">
        <v>17</v>
      </c>
      <c r="C21" s="8" t="s">
        <v>18</v>
      </c>
      <c r="D21" s="9" t="s">
        <v>25</v>
      </c>
    </row>
    <row r="22" customFormat="false" ht="15" hidden="false" customHeight="false" outlineLevel="0" collapsed="false">
      <c r="A22" s="6" t="s">
        <v>26</v>
      </c>
      <c r="B22" s="6" t="s">
        <v>17</v>
      </c>
      <c r="C22" s="6" t="s">
        <v>18</v>
      </c>
      <c r="D22" s="7" t="s">
        <v>27</v>
      </c>
    </row>
    <row r="23" customFormat="false" ht="15" hidden="false" customHeight="false" outlineLevel="0" collapsed="false">
      <c r="A23" s="8" t="s">
        <v>28</v>
      </c>
      <c r="B23" s="8" t="s">
        <v>29</v>
      </c>
      <c r="C23" s="8" t="s">
        <v>30</v>
      </c>
      <c r="D23" s="9" t="s">
        <v>31</v>
      </c>
    </row>
    <row r="24" customFormat="false" ht="15" hidden="false" customHeight="false" outlineLevel="0" collapsed="false">
      <c r="A24" s="6" t="s">
        <v>32</v>
      </c>
      <c r="B24" s="6" t="s">
        <v>33</v>
      </c>
      <c r="C24" s="6" t="s">
        <v>34</v>
      </c>
      <c r="D24" s="7" t="s">
        <v>35</v>
      </c>
    </row>
    <row r="25" customFormat="false" ht="15" hidden="false" customHeight="false" outlineLevel="0" collapsed="false">
      <c r="A25" s="8" t="s">
        <v>36</v>
      </c>
      <c r="B25" s="8" t="s">
        <v>33</v>
      </c>
      <c r="C25" s="8" t="s">
        <v>37</v>
      </c>
      <c r="D25" s="9" t="s">
        <v>38</v>
      </c>
    </row>
    <row r="26" customFormat="false" ht="15" hidden="false" customHeight="false" outlineLevel="0" collapsed="false">
      <c r="A26" s="6" t="s">
        <v>39</v>
      </c>
      <c r="B26" s="6" t="s">
        <v>40</v>
      </c>
      <c r="C26" s="6" t="s">
        <v>41</v>
      </c>
      <c r="D26" s="7" t="s">
        <v>42</v>
      </c>
    </row>
    <row r="27" customFormat="false" ht="15" hidden="false" customHeight="false" outlineLevel="0" collapsed="false">
      <c r="A27" s="8" t="s">
        <v>43</v>
      </c>
      <c r="B27" s="8" t="s">
        <v>33</v>
      </c>
      <c r="C27" s="8" t="s">
        <v>44</v>
      </c>
      <c r="D27" s="9" t="s">
        <v>45</v>
      </c>
    </row>
    <row r="28" customFormat="false" ht="15" hidden="false" customHeight="false" outlineLevel="0" collapsed="false">
      <c r="A28" s="6" t="s">
        <v>46</v>
      </c>
      <c r="B28" s="6" t="s">
        <v>33</v>
      </c>
      <c r="C28" s="6" t="s">
        <v>47</v>
      </c>
      <c r="D28" s="7" t="s">
        <v>48</v>
      </c>
    </row>
    <row r="29" customFormat="false" ht="15" hidden="false" customHeight="false" outlineLevel="0" collapsed="false">
      <c r="A29" s="8" t="s">
        <v>49</v>
      </c>
      <c r="B29" s="8" t="s">
        <v>17</v>
      </c>
      <c r="C29" s="8" t="s">
        <v>50</v>
      </c>
      <c r="D29" s="9" t="s">
        <v>51</v>
      </c>
    </row>
    <row r="30" customFormat="false" ht="15" hidden="false" customHeight="false" outlineLevel="0" collapsed="false">
      <c r="A30" s="6" t="s">
        <v>52</v>
      </c>
      <c r="B30" s="6" t="s">
        <v>33</v>
      </c>
      <c r="C30" s="6" t="s">
        <v>53</v>
      </c>
      <c r="D30" s="7" t="s">
        <v>54</v>
      </c>
    </row>
    <row r="31" customFormat="false" ht="15" hidden="false" customHeight="false" outlineLevel="0" collapsed="false">
      <c r="A31" s="8" t="s">
        <v>55</v>
      </c>
      <c r="B31" s="8" t="s">
        <v>17</v>
      </c>
      <c r="C31" s="8" t="s">
        <v>18</v>
      </c>
      <c r="D31" s="9" t="s">
        <v>56</v>
      </c>
    </row>
    <row r="32" customFormat="false" ht="15" hidden="false" customHeight="false" outlineLevel="0" collapsed="false">
      <c r="A32" s="6" t="s">
        <v>57</v>
      </c>
      <c r="B32" s="6" t="s">
        <v>58</v>
      </c>
      <c r="C32" s="6" t="s">
        <v>59</v>
      </c>
      <c r="D32" s="7" t="s">
        <v>60</v>
      </c>
    </row>
    <row r="35" customFormat="false" ht="15" hidden="false" customHeight="false" outlineLevel="0" collapsed="false">
      <c r="A35" s="3" t="s">
        <v>61</v>
      </c>
    </row>
    <row r="36" customFormat="false" ht="15" hidden="false" customHeight="false" outlineLevel="0" collapsed="false">
      <c r="A36" s="2" t="s">
        <v>62</v>
      </c>
    </row>
    <row r="37" customFormat="false" ht="15" hidden="false" customHeight="false" outlineLevel="0" collapsed="false">
      <c r="A37" s="2" t="s">
        <v>63</v>
      </c>
    </row>
    <row r="38" customFormat="false" ht="15" hidden="false" customHeight="false" outlineLevel="0" collapsed="false">
      <c r="A38" s="2" t="s">
        <v>64</v>
      </c>
    </row>
    <row r="39" customFormat="false" ht="15" hidden="false" customHeight="false" outlineLevel="0" collapsed="false">
      <c r="A39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18"/>
  </cols>
  <sheetData>
    <row r="1" customFormat="false" ht="30" hidden="false" customHeight="true" outlineLevel="0" collapsed="false">
      <c r="A1" s="10" t="s">
        <v>16</v>
      </c>
      <c r="B1" s="10" t="s">
        <v>20</v>
      </c>
      <c r="C1" s="10" t="s">
        <v>22</v>
      </c>
      <c r="D1" s="10" t="s">
        <v>24</v>
      </c>
      <c r="E1" s="10" t="s">
        <v>26</v>
      </c>
      <c r="F1" s="10" t="s">
        <v>28</v>
      </c>
      <c r="G1" s="10" t="s">
        <v>32</v>
      </c>
      <c r="H1" s="10" t="s">
        <v>36</v>
      </c>
      <c r="I1" s="10" t="s">
        <v>39</v>
      </c>
      <c r="J1" s="10" t="s">
        <v>43</v>
      </c>
      <c r="K1" s="10" t="s">
        <v>46</v>
      </c>
      <c r="L1" s="10" t="s">
        <v>49</v>
      </c>
      <c r="M1" s="10" t="s">
        <v>52</v>
      </c>
      <c r="N1" s="10" t="s">
        <v>55</v>
      </c>
      <c r="O1" s="10" t="s">
        <v>57</v>
      </c>
    </row>
    <row r="2" customFormat="false" ht="15" hidden="false" customHeight="false" outlineLevel="0" collapsed="false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11" t="n">
        <v>52.3</v>
      </c>
      <c r="H2" s="11" t="n">
        <v>23.4</v>
      </c>
      <c r="I2" s="12" t="n">
        <v>20</v>
      </c>
      <c r="J2" s="11" t="n">
        <v>255.9</v>
      </c>
      <c r="K2" s="13" t="n">
        <v>81.3</v>
      </c>
      <c r="L2" s="2" t="s">
        <v>72</v>
      </c>
      <c r="M2" s="14" t="n">
        <v>3154</v>
      </c>
      <c r="N2" s="2" t="s">
        <v>73</v>
      </c>
      <c r="O2" s="14" t="n">
        <f aca="false">IFERROR(M2/I2,"")</f>
        <v>157.7</v>
      </c>
    </row>
    <row r="3" customFormat="false" ht="15" hidden="false" customHeight="false" outlineLevel="0" collapsed="false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11" t="n">
        <v>38.7</v>
      </c>
      <c r="H3" s="11" t="n">
        <v>14.2</v>
      </c>
      <c r="I3" s="12" t="n">
        <v>10</v>
      </c>
      <c r="J3" s="11" t="n">
        <v>33.3</v>
      </c>
      <c r="K3" s="13" t="n">
        <v>66.5</v>
      </c>
      <c r="L3" s="2" t="s">
        <v>72</v>
      </c>
      <c r="M3" s="14" t="n">
        <v>23832</v>
      </c>
      <c r="N3" s="2" t="s">
        <v>80</v>
      </c>
      <c r="O3" s="14" t="n">
        <f aca="false">IFERROR(M3/I3,"")</f>
        <v>2383.2</v>
      </c>
    </row>
    <row r="4" customFormat="false" ht="15" hidden="false" customHeight="false" outlineLevel="0" collapsed="false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86</v>
      </c>
      <c r="G4" s="11" t="n">
        <v>13.4</v>
      </c>
      <c r="H4" s="11" t="n">
        <v>9.2</v>
      </c>
      <c r="I4" s="12" t="n">
        <v>10</v>
      </c>
      <c r="J4" s="11" t="n">
        <v>9.7</v>
      </c>
      <c r="K4" s="13" t="n">
        <v>61.7</v>
      </c>
      <c r="L4" s="2" t="s">
        <v>87</v>
      </c>
      <c r="M4" s="14" t="n">
        <v>654</v>
      </c>
      <c r="N4" s="2" t="s">
        <v>73</v>
      </c>
      <c r="O4" s="14" t="n">
        <f aca="false">IFERROR(M4/I4,"")</f>
        <v>65.4</v>
      </c>
    </row>
    <row r="5" customFormat="false" ht="15" hidden="false" customHeight="false" outlineLevel="0" collapsed="false">
      <c r="A5" s="2" t="s">
        <v>88</v>
      </c>
      <c r="B5" s="2" t="s">
        <v>89</v>
      </c>
      <c r="C5" s="2" t="s">
        <v>83</v>
      </c>
      <c r="D5" s="2" t="s">
        <v>77</v>
      </c>
      <c r="E5" s="2" t="s">
        <v>90</v>
      </c>
      <c r="F5" s="2" t="s">
        <v>91</v>
      </c>
      <c r="G5" s="11" t="n">
        <v>11.8</v>
      </c>
      <c r="H5" s="11" t="n">
        <v>9.8</v>
      </c>
      <c r="I5" s="12" t="n">
        <v>9</v>
      </c>
      <c r="J5" s="11" t="n">
        <v>15.4</v>
      </c>
      <c r="K5" s="13" t="n">
        <v>58.2</v>
      </c>
      <c r="L5" s="2" t="s">
        <v>87</v>
      </c>
      <c r="M5" s="14" t="n">
        <v>634</v>
      </c>
      <c r="N5" s="2" t="s">
        <v>73</v>
      </c>
      <c r="O5" s="14" t="n">
        <f aca="false">IFERROR(M5/I5,"")</f>
        <v>70.4444444444444</v>
      </c>
    </row>
    <row r="6" customFormat="false" ht="15" hidden="false" customHeight="false" outlineLevel="0" collapsed="false">
      <c r="A6" s="2" t="s">
        <v>92</v>
      </c>
      <c r="B6" s="2" t="s">
        <v>93</v>
      </c>
      <c r="C6" s="2" t="s">
        <v>83</v>
      </c>
      <c r="D6" s="2" t="s">
        <v>77</v>
      </c>
      <c r="E6" s="2" t="s">
        <v>78</v>
      </c>
      <c r="F6" s="2" t="s">
        <v>94</v>
      </c>
      <c r="G6" s="11" t="n">
        <v>16.1</v>
      </c>
      <c r="H6" s="11" t="n">
        <v>9.5</v>
      </c>
      <c r="I6" s="12" t="n">
        <v>3</v>
      </c>
      <c r="J6" s="11" t="n">
        <v>2.5</v>
      </c>
      <c r="K6" s="13" t="n">
        <v>44</v>
      </c>
      <c r="L6" s="2" t="s">
        <v>72</v>
      </c>
      <c r="M6" s="14" t="n">
        <v>498</v>
      </c>
      <c r="N6" s="2" t="s">
        <v>73</v>
      </c>
      <c r="O6" s="14" t="n">
        <f aca="false">IFERROR(M6/I6,"")</f>
        <v>166</v>
      </c>
    </row>
    <row r="7" customFormat="false" ht="15" hidden="false" customHeight="false" outlineLevel="0" collapsed="false">
      <c r="A7" s="2" t="s">
        <v>95</v>
      </c>
      <c r="B7" s="2" t="s">
        <v>96</v>
      </c>
      <c r="C7" s="2" t="s">
        <v>97</v>
      </c>
      <c r="D7" s="2" t="s">
        <v>77</v>
      </c>
      <c r="E7" s="2" t="s">
        <v>98</v>
      </c>
      <c r="F7" s="2" t="s">
        <v>99</v>
      </c>
      <c r="G7" s="11" t="n">
        <v>26.9</v>
      </c>
      <c r="H7" s="11" t="n">
        <v>42.8</v>
      </c>
      <c r="I7" s="12" t="n">
        <v>7</v>
      </c>
      <c r="J7" s="11" t="n">
        <v>28.8</v>
      </c>
      <c r="K7" s="13" t="n">
        <v>42.4</v>
      </c>
      <c r="L7" s="2" t="s">
        <v>72</v>
      </c>
      <c r="M7" s="14" t="n">
        <v>12034</v>
      </c>
      <c r="N7" s="2" t="s">
        <v>73</v>
      </c>
      <c r="O7" s="14" t="n">
        <f aca="false">IFERROR(M7/I7,"")</f>
        <v>1719.14285714286</v>
      </c>
    </row>
    <row r="8" customFormat="false" ht="15" hidden="false" customHeight="false" outlineLevel="0" collapsed="false">
      <c r="A8" s="2" t="s">
        <v>100</v>
      </c>
      <c r="B8" s="2" t="s">
        <v>101</v>
      </c>
      <c r="C8" s="2" t="s">
        <v>102</v>
      </c>
      <c r="D8" s="2" t="s">
        <v>84</v>
      </c>
      <c r="E8" s="2" t="s">
        <v>70</v>
      </c>
      <c r="F8" s="2" t="s">
        <v>103</v>
      </c>
      <c r="G8" s="11" t="n">
        <v>38.2</v>
      </c>
      <c r="H8" s="11" t="n">
        <v>13.6</v>
      </c>
      <c r="I8" s="12" t="n">
        <v>18</v>
      </c>
      <c r="J8" s="11" t="n">
        <v>160.7</v>
      </c>
      <c r="K8" s="13" t="n">
        <v>83.1</v>
      </c>
      <c r="L8" s="2" t="s">
        <v>104</v>
      </c>
      <c r="M8" s="14" t="n">
        <v>7876</v>
      </c>
      <c r="N8" s="2" t="s">
        <v>73</v>
      </c>
      <c r="O8" s="14" t="n">
        <f aca="false">IFERROR(M8/I8,"")</f>
        <v>437.555555555556</v>
      </c>
    </row>
    <row r="9" customFormat="false" ht="15" hidden="false" customHeight="false" outlineLevel="0" collapsed="false">
      <c r="A9" s="2" t="s">
        <v>105</v>
      </c>
      <c r="B9" s="2" t="s">
        <v>106</v>
      </c>
      <c r="C9" s="2" t="s">
        <v>68</v>
      </c>
      <c r="D9" s="2" t="s">
        <v>84</v>
      </c>
      <c r="E9" s="2" t="s">
        <v>107</v>
      </c>
      <c r="F9" s="2" t="s">
        <v>108</v>
      </c>
      <c r="G9" s="11" t="n">
        <v>42.4</v>
      </c>
      <c r="H9" s="11" t="n">
        <v>14.9</v>
      </c>
      <c r="I9" s="12" t="n">
        <v>18</v>
      </c>
      <c r="J9" s="11" t="n">
        <v>225.5</v>
      </c>
      <c r="K9" s="13" t="n">
        <v>68.3</v>
      </c>
      <c r="L9" s="2" t="s">
        <v>109</v>
      </c>
      <c r="M9" s="14" t="n">
        <v>3643</v>
      </c>
      <c r="N9" s="2" t="s">
        <v>73</v>
      </c>
      <c r="O9" s="14" t="n">
        <f aca="false">IFERROR(M9/I9,"")</f>
        <v>202.388888888889</v>
      </c>
    </row>
    <row r="10" customFormat="false" ht="15" hidden="false" customHeight="false" outlineLevel="0" collapsed="false">
      <c r="A10" s="2" t="s">
        <v>110</v>
      </c>
      <c r="B10" s="2" t="s">
        <v>111</v>
      </c>
      <c r="C10" s="2" t="s">
        <v>76</v>
      </c>
      <c r="D10" s="2" t="s">
        <v>84</v>
      </c>
      <c r="E10" s="2" t="s">
        <v>70</v>
      </c>
      <c r="F10" s="2" t="s">
        <v>112</v>
      </c>
      <c r="G10" s="11" t="n">
        <v>38.5</v>
      </c>
      <c r="H10" s="11" t="n">
        <v>27.4</v>
      </c>
      <c r="I10" s="12" t="n">
        <v>14</v>
      </c>
      <c r="J10" s="11" t="n">
        <v>108</v>
      </c>
      <c r="K10" s="13" t="n">
        <v>70.5</v>
      </c>
      <c r="L10" s="2" t="s">
        <v>104</v>
      </c>
      <c r="M10" s="14" t="n">
        <v>31928</v>
      </c>
      <c r="N10" s="2" t="s">
        <v>73</v>
      </c>
      <c r="O10" s="14" t="n">
        <f aca="false">IFERROR(M10/I10,"")</f>
        <v>2280.57142857143</v>
      </c>
    </row>
    <row r="11" customFormat="false" ht="15" hidden="false" customHeight="false" outlineLevel="0" collapsed="false">
      <c r="A11" s="2" t="s">
        <v>113</v>
      </c>
      <c r="B11" s="2" t="s">
        <v>89</v>
      </c>
      <c r="C11" s="2" t="s">
        <v>83</v>
      </c>
      <c r="D11" s="2" t="s">
        <v>84</v>
      </c>
      <c r="E11" s="2" t="s">
        <v>70</v>
      </c>
      <c r="F11" s="2" t="s">
        <v>114</v>
      </c>
      <c r="G11" s="11" t="n">
        <v>17.1</v>
      </c>
      <c r="H11" s="11" t="n">
        <v>10.7</v>
      </c>
      <c r="I11" s="12" t="n">
        <v>24</v>
      </c>
      <c r="J11" s="11" t="n">
        <v>29.3</v>
      </c>
      <c r="K11" s="13" t="n">
        <v>60.7</v>
      </c>
      <c r="L11" s="2" t="s">
        <v>104</v>
      </c>
      <c r="M11" s="14" t="n">
        <v>567</v>
      </c>
      <c r="N11" s="2" t="s">
        <v>80</v>
      </c>
      <c r="O11" s="14" t="n">
        <f aca="false">IFERROR(M11/I11,"")</f>
        <v>23.625</v>
      </c>
    </row>
    <row r="12" customFormat="false" ht="15" hidden="false" customHeight="false" outlineLevel="0" collapsed="false">
      <c r="A12" s="2" t="s">
        <v>115</v>
      </c>
      <c r="B12" s="2" t="s">
        <v>101</v>
      </c>
      <c r="C12" s="2" t="s">
        <v>102</v>
      </c>
      <c r="D12" s="2" t="s">
        <v>84</v>
      </c>
      <c r="E12" s="2" t="s">
        <v>116</v>
      </c>
      <c r="F12" s="2" t="s">
        <v>117</v>
      </c>
      <c r="G12" s="11" t="n">
        <v>31.5</v>
      </c>
      <c r="H12" s="11" t="n">
        <v>34.1</v>
      </c>
      <c r="I12" s="12" t="n">
        <v>7</v>
      </c>
      <c r="J12" s="11" t="n">
        <v>18.8</v>
      </c>
      <c r="K12" s="13" t="n">
        <v>85.7</v>
      </c>
      <c r="L12" s="2" t="s">
        <v>104</v>
      </c>
      <c r="M12" s="14" t="n">
        <v>9908</v>
      </c>
      <c r="N12" s="2" t="s">
        <v>73</v>
      </c>
      <c r="O12" s="14" t="n">
        <f aca="false">IFERROR(M12/I12,"")</f>
        <v>1415.42857142857</v>
      </c>
    </row>
    <row r="13" customFormat="false" ht="15" hidden="false" customHeight="false" outlineLevel="0" collapsed="false">
      <c r="A13" s="2" t="s">
        <v>118</v>
      </c>
      <c r="B13" s="2" t="s">
        <v>119</v>
      </c>
      <c r="C13" s="2" t="s">
        <v>102</v>
      </c>
      <c r="D13" s="2" t="s">
        <v>84</v>
      </c>
      <c r="E13" s="2" t="s">
        <v>90</v>
      </c>
      <c r="F13" s="2" t="s">
        <v>120</v>
      </c>
      <c r="G13" s="11" t="n">
        <v>37.4</v>
      </c>
      <c r="H13" s="11" t="n">
        <v>31.6</v>
      </c>
      <c r="I13" s="12" t="n">
        <v>27</v>
      </c>
      <c r="J13" s="11" t="n">
        <v>173.6</v>
      </c>
      <c r="K13" s="13" t="n">
        <v>80.4</v>
      </c>
      <c r="L13" s="2" t="s">
        <v>72</v>
      </c>
      <c r="M13" s="14" t="n">
        <v>6699</v>
      </c>
      <c r="N13" s="2" t="s">
        <v>73</v>
      </c>
      <c r="O13" s="14" t="n">
        <f aca="false">IFERROR(M13/I13,"")</f>
        <v>248.111111111111</v>
      </c>
    </row>
    <row r="14" customFormat="false" ht="15" hidden="false" customHeight="false" outlineLevel="0" collapsed="false">
      <c r="A14" s="2" t="s">
        <v>121</v>
      </c>
      <c r="B14" s="2" t="s">
        <v>111</v>
      </c>
      <c r="C14" s="2" t="s">
        <v>76</v>
      </c>
      <c r="D14" s="2" t="s">
        <v>122</v>
      </c>
      <c r="E14" s="2" t="s">
        <v>107</v>
      </c>
      <c r="F14" s="2" t="s">
        <v>123</v>
      </c>
      <c r="G14" s="11" t="n">
        <v>54.2</v>
      </c>
      <c r="H14" s="11" t="n">
        <v>17.5</v>
      </c>
      <c r="I14" s="12" t="n">
        <v>8</v>
      </c>
      <c r="J14" s="11" t="n">
        <v>19.2</v>
      </c>
      <c r="K14" s="13" t="n">
        <v>59.8</v>
      </c>
      <c r="L14" s="2" t="s">
        <v>72</v>
      </c>
      <c r="M14" s="14" t="n">
        <v>17802</v>
      </c>
      <c r="N14" s="2" t="s">
        <v>73</v>
      </c>
      <c r="O14" s="14" t="n">
        <f aca="false">IFERROR(M14/I14,"")</f>
        <v>2225.25</v>
      </c>
    </row>
    <row r="15" customFormat="false" ht="15" hidden="false" customHeight="false" outlineLevel="0" collapsed="false">
      <c r="A15" s="2" t="s">
        <v>124</v>
      </c>
      <c r="B15" s="2" t="s">
        <v>125</v>
      </c>
      <c r="C15" s="2" t="s">
        <v>126</v>
      </c>
      <c r="D15" s="2" t="s">
        <v>127</v>
      </c>
      <c r="E15" s="2" t="s">
        <v>107</v>
      </c>
      <c r="F15" s="2" t="s">
        <v>128</v>
      </c>
      <c r="G15" s="11" t="n">
        <v>419.5</v>
      </c>
      <c r="H15" s="11" t="n">
        <v>699.3</v>
      </c>
      <c r="I15" s="12" t="n">
        <v>13</v>
      </c>
      <c r="J15" s="11" t="n">
        <v>1165.5</v>
      </c>
      <c r="K15" s="13" t="n">
        <v>67.2</v>
      </c>
      <c r="L15" s="2" t="s">
        <v>72</v>
      </c>
      <c r="M15" s="14" t="n">
        <v>115298</v>
      </c>
      <c r="N15" s="2" t="s">
        <v>73</v>
      </c>
      <c r="O15" s="14" t="n">
        <f aca="false">IFERROR(M15/I15,"")</f>
        <v>8869.07692307692</v>
      </c>
    </row>
    <row r="16" customFormat="false" ht="15" hidden="false" customHeight="false" outlineLevel="0" collapsed="false">
      <c r="A16" s="2" t="s">
        <v>129</v>
      </c>
      <c r="B16" s="2" t="s">
        <v>89</v>
      </c>
      <c r="C16" s="2" t="s">
        <v>83</v>
      </c>
      <c r="D16" s="2" t="s">
        <v>130</v>
      </c>
      <c r="E16" s="2" t="s">
        <v>78</v>
      </c>
      <c r="F16" s="2" t="s">
        <v>131</v>
      </c>
      <c r="G16" s="11" t="n">
        <v>16.9</v>
      </c>
      <c r="H16" s="11" t="n">
        <v>8.6</v>
      </c>
      <c r="I16" s="12" t="n">
        <v>35</v>
      </c>
      <c r="J16" s="11" t="n">
        <v>182.4</v>
      </c>
      <c r="K16" s="13" t="n">
        <v>45.6</v>
      </c>
      <c r="L16" s="2" t="s">
        <v>109</v>
      </c>
      <c r="M16" s="14" t="n">
        <v>555</v>
      </c>
      <c r="N16" s="2" t="s">
        <v>80</v>
      </c>
      <c r="O16" s="14" t="n">
        <f aca="false">IFERROR(M16/I16,"")</f>
        <v>15.8571428571429</v>
      </c>
    </row>
    <row r="17" customFormat="false" ht="15" hidden="false" customHeight="false" outlineLevel="0" collapsed="false">
      <c r="A17" s="2" t="s">
        <v>132</v>
      </c>
      <c r="B17" s="2" t="s">
        <v>133</v>
      </c>
      <c r="C17" s="2" t="s">
        <v>97</v>
      </c>
      <c r="D17" s="2" t="s">
        <v>122</v>
      </c>
      <c r="E17" s="2" t="s">
        <v>107</v>
      </c>
      <c r="F17" s="2" t="s">
        <v>134</v>
      </c>
      <c r="G17" s="11" t="n">
        <v>24.5</v>
      </c>
      <c r="H17" s="11" t="n">
        <v>36.2</v>
      </c>
      <c r="I17" s="12" t="n">
        <v>9</v>
      </c>
      <c r="J17" s="11" t="n">
        <v>18.8</v>
      </c>
      <c r="K17" s="13" t="n">
        <v>50.3</v>
      </c>
      <c r="L17" s="2" t="s">
        <v>72</v>
      </c>
      <c r="M17" s="14" t="n">
        <v>16564</v>
      </c>
      <c r="N17" s="2" t="s">
        <v>135</v>
      </c>
      <c r="O17" s="14" t="n">
        <f aca="false">IFERROR(M17/I17,"")</f>
        <v>1840.44444444444</v>
      </c>
    </row>
    <row r="18" customFormat="false" ht="15" hidden="false" customHeight="false" outlineLevel="0" collapsed="false">
      <c r="A18" s="2" t="s">
        <v>136</v>
      </c>
      <c r="B18" s="2" t="s">
        <v>93</v>
      </c>
      <c r="C18" s="2" t="s">
        <v>83</v>
      </c>
      <c r="D18" s="2" t="s">
        <v>77</v>
      </c>
      <c r="E18" s="2" t="s">
        <v>98</v>
      </c>
      <c r="F18" s="2" t="s">
        <v>137</v>
      </c>
      <c r="G18" s="11" t="n">
        <v>13</v>
      </c>
      <c r="H18" s="11" t="n">
        <v>9.1</v>
      </c>
      <c r="I18" s="12" t="n">
        <v>11</v>
      </c>
      <c r="J18" s="11" t="n">
        <v>8.1</v>
      </c>
      <c r="K18" s="13" t="n">
        <v>60.7</v>
      </c>
      <c r="L18" s="2" t="s">
        <v>87</v>
      </c>
      <c r="M18" s="14" t="n">
        <v>644</v>
      </c>
      <c r="N18" s="2" t="s">
        <v>138</v>
      </c>
      <c r="O18" s="14" t="n">
        <f aca="false">IFERROR(M18/I18,"")</f>
        <v>58.5454545454546</v>
      </c>
    </row>
    <row r="19" customFormat="false" ht="15" hidden="false" customHeight="false" outlineLevel="0" collapsed="false">
      <c r="A19" s="2" t="s">
        <v>139</v>
      </c>
      <c r="B19" s="2" t="s">
        <v>93</v>
      </c>
      <c r="C19" s="2" t="s">
        <v>83</v>
      </c>
      <c r="D19" s="2" t="s">
        <v>84</v>
      </c>
      <c r="E19" s="2" t="s">
        <v>107</v>
      </c>
      <c r="F19" s="2" t="s">
        <v>140</v>
      </c>
      <c r="G19" s="11" t="n">
        <v>13.9</v>
      </c>
      <c r="H19" s="11" t="n">
        <v>8.3</v>
      </c>
      <c r="I19" s="12" t="n">
        <v>13</v>
      </c>
      <c r="J19" s="11" t="n">
        <v>45</v>
      </c>
      <c r="K19" s="13" t="n">
        <v>50.3</v>
      </c>
      <c r="L19" s="2" t="s">
        <v>72</v>
      </c>
      <c r="M19" s="14" t="n">
        <v>789</v>
      </c>
      <c r="N19" s="2" t="s">
        <v>80</v>
      </c>
      <c r="O19" s="14" t="n">
        <f aca="false">IFERROR(M19/I19,"")</f>
        <v>60.6923076923077</v>
      </c>
    </row>
    <row r="20" customFormat="false" ht="15" hidden="false" customHeight="false" outlineLevel="0" collapsed="false">
      <c r="A20" s="2" t="s">
        <v>141</v>
      </c>
      <c r="B20" s="2" t="s">
        <v>89</v>
      </c>
      <c r="C20" s="2" t="s">
        <v>83</v>
      </c>
      <c r="D20" s="2" t="s">
        <v>77</v>
      </c>
      <c r="E20" s="2" t="s">
        <v>98</v>
      </c>
      <c r="F20" s="2" t="s">
        <v>142</v>
      </c>
      <c r="G20" s="11" t="n">
        <v>12.9</v>
      </c>
      <c r="H20" s="11" t="n">
        <v>8.3</v>
      </c>
      <c r="I20" s="12" t="n">
        <v>34</v>
      </c>
      <c r="J20" s="11" t="n">
        <v>84.5</v>
      </c>
      <c r="K20" s="13" t="n">
        <v>56.2</v>
      </c>
      <c r="L20" s="2" t="s">
        <v>87</v>
      </c>
      <c r="M20" s="14" t="n">
        <v>588</v>
      </c>
      <c r="N20" s="2" t="s">
        <v>80</v>
      </c>
      <c r="O20" s="14" t="n">
        <f aca="false">IFERROR(M20/I20,"")</f>
        <v>17.2941176470588</v>
      </c>
    </row>
    <row r="21" customFormat="false" ht="15" hidden="false" customHeight="false" outlineLevel="0" collapsed="false">
      <c r="A21" s="2" t="s">
        <v>143</v>
      </c>
      <c r="B21" s="2" t="s">
        <v>82</v>
      </c>
      <c r="C21" s="2" t="s">
        <v>83</v>
      </c>
      <c r="D21" s="2" t="s">
        <v>127</v>
      </c>
      <c r="E21" s="2" t="s">
        <v>107</v>
      </c>
      <c r="F21" s="2" t="s">
        <v>86</v>
      </c>
      <c r="G21" s="11" t="n">
        <v>14.7</v>
      </c>
      <c r="H21" s="11" t="n">
        <v>10.1</v>
      </c>
      <c r="I21" s="12" t="n">
        <v>38</v>
      </c>
      <c r="J21" s="11" t="n">
        <v>32.2</v>
      </c>
      <c r="K21" s="13" t="n">
        <v>50.4</v>
      </c>
      <c r="L21" s="2" t="s">
        <v>104</v>
      </c>
      <c r="M21" s="14" t="n">
        <v>771</v>
      </c>
      <c r="N21" s="2" t="s">
        <v>73</v>
      </c>
      <c r="O21" s="14" t="n">
        <f aca="false">IFERROR(M21/I21,"")</f>
        <v>20.2894736842105</v>
      </c>
    </row>
    <row r="22" customFormat="false" ht="15" hidden="false" customHeight="false" outlineLevel="0" collapsed="false">
      <c r="A22" s="2" t="s">
        <v>144</v>
      </c>
      <c r="B22" s="2" t="s">
        <v>89</v>
      </c>
      <c r="C22" s="2" t="s">
        <v>83</v>
      </c>
      <c r="D22" s="2" t="s">
        <v>84</v>
      </c>
      <c r="E22" s="2" t="s">
        <v>90</v>
      </c>
      <c r="F22" s="2" t="s">
        <v>145</v>
      </c>
      <c r="G22" s="11" t="n">
        <v>10.5</v>
      </c>
      <c r="H22" s="11" t="n">
        <v>8.2</v>
      </c>
      <c r="I22" s="12" t="n">
        <v>5</v>
      </c>
      <c r="J22" s="11" t="n">
        <v>16.2</v>
      </c>
      <c r="K22" s="13" t="n">
        <v>56.8</v>
      </c>
      <c r="L22" s="2" t="s">
        <v>72</v>
      </c>
      <c r="M22" s="14" t="n">
        <v>581</v>
      </c>
      <c r="N22" s="2" t="s">
        <v>138</v>
      </c>
      <c r="O22" s="14" t="n">
        <f aca="false">IFERROR(M22/I22,"")</f>
        <v>116.2</v>
      </c>
    </row>
    <row r="23" customFormat="false" ht="15" hidden="false" customHeight="false" outlineLevel="0" collapsed="false">
      <c r="A23" s="2" t="s">
        <v>146</v>
      </c>
      <c r="B23" s="2" t="s">
        <v>93</v>
      </c>
      <c r="C23" s="2" t="s">
        <v>83</v>
      </c>
      <c r="D23" s="2" t="s">
        <v>69</v>
      </c>
      <c r="E23" s="2" t="s">
        <v>78</v>
      </c>
      <c r="F23" s="2" t="s">
        <v>147</v>
      </c>
      <c r="G23" s="11" t="n">
        <v>11.9</v>
      </c>
      <c r="H23" s="11" t="n">
        <v>9.3</v>
      </c>
      <c r="I23" s="12" t="n">
        <v>21</v>
      </c>
      <c r="J23" s="11" t="n">
        <v>66.7</v>
      </c>
      <c r="K23" s="13" t="n">
        <v>47</v>
      </c>
      <c r="L23" s="2" t="s">
        <v>109</v>
      </c>
      <c r="M23" s="14" t="n">
        <v>750</v>
      </c>
      <c r="N23" s="2" t="s">
        <v>135</v>
      </c>
      <c r="O23" s="14" t="n">
        <f aca="false">IFERROR(M23/I23,"")</f>
        <v>35.7142857142857</v>
      </c>
    </row>
    <row r="24" customFormat="false" ht="15" hidden="false" customHeight="false" outlineLevel="0" collapsed="false">
      <c r="A24" s="2" t="s">
        <v>148</v>
      </c>
      <c r="B24" s="2" t="s">
        <v>111</v>
      </c>
      <c r="C24" s="2" t="s">
        <v>76</v>
      </c>
      <c r="D24" s="2" t="s">
        <v>127</v>
      </c>
      <c r="E24" s="2" t="s">
        <v>78</v>
      </c>
      <c r="F24" s="2" t="s">
        <v>149</v>
      </c>
      <c r="G24" s="11" t="n">
        <v>49.6</v>
      </c>
      <c r="H24" s="11" t="n">
        <v>23.7</v>
      </c>
      <c r="I24" s="12" t="n">
        <v>4</v>
      </c>
      <c r="J24" s="11" t="n">
        <v>59.1</v>
      </c>
      <c r="K24" s="13" t="n">
        <v>67.3</v>
      </c>
      <c r="L24" s="2" t="s">
        <v>104</v>
      </c>
      <c r="M24" s="14" t="n">
        <v>28350</v>
      </c>
      <c r="N24" s="2" t="s">
        <v>73</v>
      </c>
      <c r="O24" s="14" t="n">
        <f aca="false">IFERROR(M24/I24,"")</f>
        <v>7087.5</v>
      </c>
    </row>
    <row r="25" customFormat="false" ht="15" hidden="false" customHeight="false" outlineLevel="0" collapsed="false">
      <c r="A25" s="2" t="s">
        <v>150</v>
      </c>
      <c r="B25" s="2" t="s">
        <v>67</v>
      </c>
      <c r="C25" s="2" t="s">
        <v>68</v>
      </c>
      <c r="D25" s="2" t="s">
        <v>122</v>
      </c>
      <c r="E25" s="2" t="s">
        <v>107</v>
      </c>
      <c r="F25" s="2" t="s">
        <v>151</v>
      </c>
      <c r="G25" s="11" t="n">
        <v>55.9</v>
      </c>
      <c r="H25" s="11" t="n">
        <v>16.5</v>
      </c>
      <c r="I25" s="12" t="n">
        <v>8</v>
      </c>
      <c r="J25" s="11" t="n">
        <v>17.5</v>
      </c>
      <c r="K25" s="13" t="n">
        <v>76.8</v>
      </c>
      <c r="L25" s="2" t="s">
        <v>72</v>
      </c>
      <c r="M25" s="14" t="n">
        <v>3337</v>
      </c>
      <c r="N25" s="2" t="s">
        <v>73</v>
      </c>
      <c r="O25" s="14" t="n">
        <f aca="false">IFERROR(M25/I25,"")</f>
        <v>417.125</v>
      </c>
    </row>
    <row r="26" customFormat="false" ht="15" hidden="false" customHeight="false" outlineLevel="0" collapsed="false">
      <c r="A26" s="2" t="s">
        <v>152</v>
      </c>
      <c r="B26" s="2" t="s">
        <v>89</v>
      </c>
      <c r="C26" s="2" t="s">
        <v>83</v>
      </c>
      <c r="D26" s="2" t="s">
        <v>77</v>
      </c>
      <c r="E26" s="2" t="s">
        <v>85</v>
      </c>
      <c r="F26" s="2" t="s">
        <v>153</v>
      </c>
      <c r="G26" s="11" t="n">
        <v>14.9</v>
      </c>
      <c r="H26" s="11" t="n">
        <v>8.6</v>
      </c>
      <c r="I26" s="12" t="n">
        <v>17</v>
      </c>
      <c r="J26" s="11" t="n">
        <v>61.5</v>
      </c>
      <c r="K26" s="13" t="n">
        <v>53.9</v>
      </c>
      <c r="L26" s="2" t="s">
        <v>72</v>
      </c>
      <c r="M26" s="14" t="n">
        <v>488</v>
      </c>
      <c r="N26" s="2" t="s">
        <v>80</v>
      </c>
      <c r="O26" s="14" t="n">
        <f aca="false">IFERROR(M26/I26,"")</f>
        <v>28.7058823529412</v>
      </c>
    </row>
    <row r="27" customFormat="false" ht="15" hidden="false" customHeight="false" outlineLevel="0" collapsed="false">
      <c r="A27" s="2" t="s">
        <v>154</v>
      </c>
      <c r="B27" s="2" t="s">
        <v>82</v>
      </c>
      <c r="C27" s="2" t="s">
        <v>83</v>
      </c>
      <c r="D27" s="2" t="s">
        <v>127</v>
      </c>
      <c r="E27" s="2" t="s">
        <v>90</v>
      </c>
      <c r="F27" s="2" t="s">
        <v>155</v>
      </c>
      <c r="G27" s="11" t="n">
        <v>17.3</v>
      </c>
      <c r="H27" s="11" t="n">
        <v>10.7</v>
      </c>
      <c r="I27" s="12" t="n">
        <v>28</v>
      </c>
      <c r="J27" s="11" t="n">
        <v>120.3</v>
      </c>
      <c r="K27" s="13" t="n">
        <v>51</v>
      </c>
      <c r="L27" s="2" t="s">
        <v>104</v>
      </c>
      <c r="M27" s="14" t="n">
        <v>861</v>
      </c>
      <c r="N27" s="2" t="s">
        <v>135</v>
      </c>
      <c r="O27" s="14" t="n">
        <f aca="false">IFERROR(M27/I27,"")</f>
        <v>30.75</v>
      </c>
    </row>
    <row r="28" customFormat="false" ht="15" hidden="false" customHeight="false" outlineLevel="0" collapsed="false">
      <c r="A28" s="2" t="s">
        <v>156</v>
      </c>
      <c r="B28" s="2" t="s">
        <v>106</v>
      </c>
      <c r="C28" s="2" t="s">
        <v>68</v>
      </c>
      <c r="D28" s="2" t="s">
        <v>69</v>
      </c>
      <c r="E28" s="2" t="s">
        <v>78</v>
      </c>
      <c r="F28" s="2" t="s">
        <v>157</v>
      </c>
      <c r="G28" s="11" t="n">
        <v>41.5</v>
      </c>
      <c r="H28" s="11" t="n">
        <v>13.1</v>
      </c>
      <c r="I28" s="12" t="n">
        <v>9</v>
      </c>
      <c r="J28" s="11" t="n">
        <v>31.4</v>
      </c>
      <c r="K28" s="13" t="n">
        <v>76.8</v>
      </c>
      <c r="L28" s="2" t="s">
        <v>72</v>
      </c>
      <c r="M28" s="14" t="n">
        <v>2932</v>
      </c>
      <c r="N28" s="2" t="s">
        <v>73</v>
      </c>
      <c r="O28" s="14" t="n">
        <f aca="false">IFERROR(M28/I28,"")</f>
        <v>325.777777777778</v>
      </c>
    </row>
    <row r="29" customFormat="false" ht="15" hidden="false" customHeight="false" outlineLevel="0" collapsed="false">
      <c r="A29" s="2" t="s">
        <v>158</v>
      </c>
      <c r="B29" s="2" t="s">
        <v>111</v>
      </c>
      <c r="C29" s="2" t="s">
        <v>76</v>
      </c>
      <c r="D29" s="2" t="s">
        <v>127</v>
      </c>
      <c r="E29" s="2" t="s">
        <v>107</v>
      </c>
      <c r="F29" s="2" t="s">
        <v>159</v>
      </c>
      <c r="G29" s="11" t="n">
        <v>24.4</v>
      </c>
      <c r="H29" s="11" t="n">
        <v>19.6</v>
      </c>
      <c r="I29" s="12" t="n">
        <v>16</v>
      </c>
      <c r="J29" s="11" t="n">
        <v>26.3</v>
      </c>
      <c r="K29" s="13" t="n">
        <v>67.2</v>
      </c>
      <c r="L29" s="2" t="s">
        <v>72</v>
      </c>
      <c r="M29" s="14" t="n">
        <v>19636</v>
      </c>
      <c r="N29" s="2" t="s">
        <v>73</v>
      </c>
      <c r="O29" s="14" t="n">
        <f aca="false">IFERROR(M29/I29,"")</f>
        <v>1227.25</v>
      </c>
    </row>
    <row r="30" customFormat="false" ht="15" hidden="false" customHeight="false" outlineLevel="0" collapsed="false">
      <c r="A30" s="2" t="s">
        <v>160</v>
      </c>
      <c r="B30" s="2" t="s">
        <v>82</v>
      </c>
      <c r="C30" s="2" t="s">
        <v>83</v>
      </c>
      <c r="D30" s="2" t="s">
        <v>84</v>
      </c>
      <c r="E30" s="2" t="s">
        <v>78</v>
      </c>
      <c r="F30" s="2" t="s">
        <v>161</v>
      </c>
      <c r="G30" s="11" t="n">
        <v>17.4</v>
      </c>
      <c r="H30" s="11" t="n">
        <v>7.1</v>
      </c>
      <c r="I30" s="12" t="n">
        <v>10</v>
      </c>
      <c r="J30" s="11" t="n">
        <v>23.5</v>
      </c>
      <c r="K30" s="13" t="n">
        <v>38.9</v>
      </c>
      <c r="L30" s="2" t="s">
        <v>109</v>
      </c>
      <c r="M30" s="14" t="n">
        <v>610</v>
      </c>
      <c r="N30" s="2" t="s">
        <v>73</v>
      </c>
      <c r="O30" s="14" t="n">
        <f aca="false">IFERROR(M30/I30,"")</f>
        <v>61</v>
      </c>
    </row>
    <row r="31" customFormat="false" ht="15" hidden="false" customHeight="false" outlineLevel="0" collapsed="false">
      <c r="A31" s="2" t="s">
        <v>162</v>
      </c>
      <c r="B31" s="2" t="s">
        <v>93</v>
      </c>
      <c r="C31" s="2" t="s">
        <v>83</v>
      </c>
      <c r="D31" s="2" t="s">
        <v>130</v>
      </c>
      <c r="E31" s="2" t="s">
        <v>90</v>
      </c>
      <c r="F31" s="2" t="s">
        <v>163</v>
      </c>
      <c r="G31" s="11" t="n">
        <v>11.3</v>
      </c>
      <c r="H31" s="11" t="n">
        <v>9.3</v>
      </c>
      <c r="I31" s="12" t="n">
        <v>10</v>
      </c>
      <c r="J31" s="11" t="n">
        <v>40</v>
      </c>
      <c r="K31" s="13" t="n">
        <v>51.1</v>
      </c>
      <c r="L31" s="2" t="s">
        <v>72</v>
      </c>
      <c r="M31" s="14" t="n">
        <v>753</v>
      </c>
      <c r="N31" s="2" t="s">
        <v>80</v>
      </c>
      <c r="O31" s="14" t="n">
        <f aca="false">IFERROR(M31/I31,"")</f>
        <v>75.3</v>
      </c>
    </row>
    <row r="32" customFormat="false" ht="15" hidden="false" customHeight="false" outlineLevel="0" collapsed="false">
      <c r="A32" s="2" t="s">
        <v>164</v>
      </c>
      <c r="B32" s="2" t="s">
        <v>165</v>
      </c>
      <c r="C32" s="2" t="s">
        <v>68</v>
      </c>
      <c r="D32" s="2" t="s">
        <v>127</v>
      </c>
      <c r="E32" s="2" t="s">
        <v>116</v>
      </c>
      <c r="F32" s="2" t="s">
        <v>166</v>
      </c>
      <c r="G32" s="11" t="n">
        <v>55.5</v>
      </c>
      <c r="H32" s="11" t="n">
        <v>25.8</v>
      </c>
      <c r="I32" s="12" t="n">
        <v>4</v>
      </c>
      <c r="J32" s="11" t="n">
        <v>10.4</v>
      </c>
      <c r="K32" s="13" t="n">
        <v>73.3</v>
      </c>
      <c r="L32" s="2" t="s">
        <v>104</v>
      </c>
      <c r="M32" s="14" t="n">
        <v>3915</v>
      </c>
      <c r="N32" s="2" t="s">
        <v>73</v>
      </c>
      <c r="O32" s="14" t="n">
        <f aca="false">IFERROR(M32/I32,"")</f>
        <v>978.75</v>
      </c>
    </row>
    <row r="33" customFormat="false" ht="15" hidden="false" customHeight="false" outlineLevel="0" collapsed="false">
      <c r="A33" s="2" t="s">
        <v>167</v>
      </c>
      <c r="B33" s="2" t="s">
        <v>101</v>
      </c>
      <c r="C33" s="2" t="s">
        <v>102</v>
      </c>
      <c r="D33" s="2" t="s">
        <v>69</v>
      </c>
      <c r="E33" s="2" t="s">
        <v>90</v>
      </c>
      <c r="F33" s="2" t="s">
        <v>168</v>
      </c>
      <c r="G33" s="11" t="n">
        <v>27.7</v>
      </c>
      <c r="H33" s="11" t="n">
        <v>20.1</v>
      </c>
      <c r="I33" s="12" t="n">
        <v>12</v>
      </c>
      <c r="J33" s="11" t="n">
        <v>60.3</v>
      </c>
      <c r="K33" s="13" t="n">
        <v>86.3</v>
      </c>
      <c r="L33" s="2" t="s">
        <v>104</v>
      </c>
      <c r="M33" s="14" t="n">
        <v>9455</v>
      </c>
      <c r="N33" s="2" t="s">
        <v>73</v>
      </c>
      <c r="O33" s="14" t="n">
        <f aca="false">IFERROR(M33/I33,"")</f>
        <v>787.916666666667</v>
      </c>
    </row>
    <row r="34" customFormat="false" ht="15" hidden="false" customHeight="false" outlineLevel="0" collapsed="false">
      <c r="A34" s="2" t="s">
        <v>169</v>
      </c>
      <c r="B34" s="2" t="s">
        <v>96</v>
      </c>
      <c r="C34" s="2" t="s">
        <v>97</v>
      </c>
      <c r="D34" s="2" t="s">
        <v>84</v>
      </c>
      <c r="E34" s="2" t="s">
        <v>98</v>
      </c>
      <c r="F34" s="2" t="s">
        <v>170</v>
      </c>
      <c r="G34" s="11" t="n">
        <v>17.9</v>
      </c>
      <c r="H34" s="11" t="n">
        <v>41.9</v>
      </c>
      <c r="I34" s="12" t="n">
        <v>15</v>
      </c>
      <c r="J34" s="11" t="n">
        <v>89.7</v>
      </c>
      <c r="K34" s="13" t="n">
        <v>60.4</v>
      </c>
      <c r="L34" s="2" t="s">
        <v>104</v>
      </c>
      <c r="M34" s="14" t="n">
        <v>13232</v>
      </c>
      <c r="N34" s="2" t="s">
        <v>73</v>
      </c>
      <c r="O34" s="14" t="n">
        <f aca="false">IFERROR(M34/I34,"")</f>
        <v>882.133333333333</v>
      </c>
    </row>
    <row r="35" customFormat="false" ht="15" hidden="false" customHeight="false" outlineLevel="0" collapsed="false">
      <c r="A35" s="2" t="s">
        <v>171</v>
      </c>
      <c r="B35" s="2" t="s">
        <v>111</v>
      </c>
      <c r="C35" s="2" t="s">
        <v>76</v>
      </c>
      <c r="D35" s="2" t="s">
        <v>127</v>
      </c>
      <c r="E35" s="2" t="s">
        <v>107</v>
      </c>
      <c r="F35" s="2" t="s">
        <v>172</v>
      </c>
      <c r="G35" s="11" t="n">
        <v>41.4</v>
      </c>
      <c r="H35" s="11" t="n">
        <v>27</v>
      </c>
      <c r="I35" s="12" t="n">
        <v>2</v>
      </c>
      <c r="J35" s="11" t="n">
        <v>5.8</v>
      </c>
      <c r="K35" s="13" t="n">
        <v>72.5</v>
      </c>
      <c r="L35" s="2" t="s">
        <v>72</v>
      </c>
      <c r="M35" s="14" t="n">
        <v>21113</v>
      </c>
      <c r="N35" s="2" t="s">
        <v>73</v>
      </c>
      <c r="O35" s="14" t="n">
        <f aca="false">IFERROR(M35/I35,"")</f>
        <v>10556.5</v>
      </c>
    </row>
    <row r="36" customFormat="false" ht="15" hidden="false" customHeight="false" outlineLevel="0" collapsed="false">
      <c r="A36" s="2" t="s">
        <v>173</v>
      </c>
      <c r="B36" s="2" t="s">
        <v>89</v>
      </c>
      <c r="C36" s="2" t="s">
        <v>83</v>
      </c>
      <c r="D36" s="2" t="s">
        <v>77</v>
      </c>
      <c r="E36" s="2" t="s">
        <v>98</v>
      </c>
      <c r="F36" s="2" t="s">
        <v>174</v>
      </c>
      <c r="G36" s="11" t="n">
        <v>14.9</v>
      </c>
      <c r="H36" s="11" t="n">
        <v>5.9</v>
      </c>
      <c r="I36" s="12" t="n">
        <v>35</v>
      </c>
      <c r="J36" s="11" t="n">
        <v>143.5</v>
      </c>
      <c r="K36" s="13" t="n">
        <v>62.1</v>
      </c>
      <c r="L36" s="2" t="s">
        <v>87</v>
      </c>
      <c r="M36" s="14" t="n">
        <v>743</v>
      </c>
      <c r="N36" s="2" t="s">
        <v>73</v>
      </c>
      <c r="O36" s="14" t="n">
        <f aca="false">IFERROR(M36/I36,"")</f>
        <v>21.2285714285714</v>
      </c>
    </row>
    <row r="37" customFormat="false" ht="15" hidden="false" customHeight="false" outlineLevel="0" collapsed="false">
      <c r="A37" s="2" t="s">
        <v>175</v>
      </c>
      <c r="B37" s="2" t="s">
        <v>101</v>
      </c>
      <c r="C37" s="2" t="s">
        <v>102</v>
      </c>
      <c r="D37" s="2" t="s">
        <v>84</v>
      </c>
      <c r="E37" s="2" t="s">
        <v>70</v>
      </c>
      <c r="F37" s="2" t="s">
        <v>176</v>
      </c>
      <c r="G37" s="11" t="n">
        <v>31.7</v>
      </c>
      <c r="H37" s="11" t="n">
        <v>19.6</v>
      </c>
      <c r="I37" s="12" t="n">
        <v>17</v>
      </c>
      <c r="J37" s="11" t="n">
        <v>131.5</v>
      </c>
      <c r="K37" s="13" t="n">
        <v>77.7</v>
      </c>
      <c r="L37" s="2" t="s">
        <v>72</v>
      </c>
      <c r="M37" s="14" t="n">
        <v>11004</v>
      </c>
      <c r="N37" s="2" t="s">
        <v>73</v>
      </c>
      <c r="O37" s="14" t="n">
        <f aca="false">IFERROR(M37/I37,"")</f>
        <v>647.294117647059</v>
      </c>
    </row>
    <row r="38" customFormat="false" ht="15" hidden="false" customHeight="false" outlineLevel="0" collapsed="false">
      <c r="A38" s="2" t="s">
        <v>177</v>
      </c>
      <c r="B38" s="2" t="s">
        <v>75</v>
      </c>
      <c r="C38" s="2" t="s">
        <v>76</v>
      </c>
      <c r="D38" s="2" t="s">
        <v>84</v>
      </c>
      <c r="E38" s="2" t="s">
        <v>90</v>
      </c>
      <c r="F38" s="2" t="s">
        <v>178</v>
      </c>
      <c r="G38" s="11" t="n">
        <v>26.9</v>
      </c>
      <c r="H38" s="11" t="n">
        <v>21.9</v>
      </c>
      <c r="I38" s="12" t="n">
        <v>9</v>
      </c>
      <c r="J38" s="11" t="n">
        <v>92.5</v>
      </c>
      <c r="K38" s="13" t="n">
        <v>58.7</v>
      </c>
      <c r="L38" s="2" t="s">
        <v>109</v>
      </c>
      <c r="M38" s="14" t="n">
        <v>16944</v>
      </c>
      <c r="N38" s="2" t="s">
        <v>80</v>
      </c>
      <c r="O38" s="14" t="n">
        <f aca="false">IFERROR(M38/I38,"")</f>
        <v>1882.66666666667</v>
      </c>
    </row>
    <row r="39" customFormat="false" ht="15" hidden="false" customHeight="false" outlineLevel="0" collapsed="false">
      <c r="A39" s="2" t="s">
        <v>179</v>
      </c>
      <c r="B39" s="2" t="s">
        <v>93</v>
      </c>
      <c r="C39" s="2" t="s">
        <v>83</v>
      </c>
      <c r="D39" s="2" t="s">
        <v>130</v>
      </c>
      <c r="E39" s="2" t="s">
        <v>78</v>
      </c>
      <c r="F39" s="2" t="s">
        <v>180</v>
      </c>
      <c r="G39" s="11" t="n">
        <v>14.6</v>
      </c>
      <c r="H39" s="11" t="n">
        <v>7.6</v>
      </c>
      <c r="I39" s="12" t="n">
        <v>16</v>
      </c>
      <c r="J39" s="11" t="n">
        <v>59.8</v>
      </c>
      <c r="K39" s="13" t="n">
        <v>51.1</v>
      </c>
      <c r="L39" s="2" t="s">
        <v>72</v>
      </c>
      <c r="M39" s="14" t="n">
        <v>793</v>
      </c>
      <c r="N39" s="2" t="s">
        <v>80</v>
      </c>
      <c r="O39" s="14" t="n">
        <f aca="false">IFERROR(M39/I39,"")</f>
        <v>49.5625</v>
      </c>
    </row>
    <row r="40" customFormat="false" ht="15" hidden="false" customHeight="false" outlineLevel="0" collapsed="false">
      <c r="A40" s="2" t="s">
        <v>181</v>
      </c>
      <c r="B40" s="2" t="s">
        <v>101</v>
      </c>
      <c r="C40" s="2" t="s">
        <v>102</v>
      </c>
      <c r="D40" s="2" t="s">
        <v>77</v>
      </c>
      <c r="E40" s="2" t="s">
        <v>90</v>
      </c>
      <c r="F40" s="2" t="s">
        <v>182</v>
      </c>
      <c r="G40" s="11" t="n">
        <v>45.4</v>
      </c>
      <c r="H40" s="11" t="n">
        <v>26.1</v>
      </c>
      <c r="I40" s="12" t="n">
        <v>16</v>
      </c>
      <c r="J40" s="11" t="n">
        <v>26.3</v>
      </c>
      <c r="K40" s="13" t="n">
        <v>75.2</v>
      </c>
      <c r="L40" s="2" t="s">
        <v>72</v>
      </c>
      <c r="M40" s="14" t="n">
        <v>9939</v>
      </c>
      <c r="N40" s="2" t="s">
        <v>73</v>
      </c>
      <c r="O40" s="14" t="n">
        <f aca="false">IFERROR(M40/I40,"")</f>
        <v>621.1875</v>
      </c>
    </row>
    <row r="41" customFormat="false" ht="15" hidden="false" customHeight="false" outlineLevel="0" collapsed="false">
      <c r="A41" s="2" t="s">
        <v>183</v>
      </c>
      <c r="B41" s="2" t="s">
        <v>89</v>
      </c>
      <c r="C41" s="2" t="s">
        <v>83</v>
      </c>
      <c r="D41" s="2" t="s">
        <v>122</v>
      </c>
      <c r="E41" s="2" t="s">
        <v>78</v>
      </c>
      <c r="F41" s="2" t="s">
        <v>184</v>
      </c>
      <c r="G41" s="11" t="n">
        <v>10.6</v>
      </c>
      <c r="H41" s="11" t="n">
        <v>11</v>
      </c>
      <c r="I41" s="12" t="n">
        <v>33</v>
      </c>
      <c r="J41" s="11" t="n">
        <v>76.4</v>
      </c>
      <c r="K41" s="13" t="n">
        <v>50.1</v>
      </c>
      <c r="L41" s="2" t="s">
        <v>72</v>
      </c>
      <c r="M41" s="14" t="n">
        <v>725</v>
      </c>
      <c r="N41" s="2" t="s">
        <v>73</v>
      </c>
      <c r="O41" s="14" t="n">
        <f aca="false">IFERROR(M41/I41,"")</f>
        <v>21.969696969697</v>
      </c>
    </row>
    <row r="42" customFormat="false" ht="15" hidden="false" customHeight="false" outlineLevel="0" collapsed="false">
      <c r="A42" s="2" t="s">
        <v>185</v>
      </c>
      <c r="B42" s="2" t="s">
        <v>111</v>
      </c>
      <c r="C42" s="2" t="s">
        <v>76</v>
      </c>
      <c r="D42" s="2" t="s">
        <v>77</v>
      </c>
      <c r="E42" s="2" t="s">
        <v>107</v>
      </c>
      <c r="F42" s="2" t="s">
        <v>186</v>
      </c>
      <c r="G42" s="11" t="n">
        <v>46.3</v>
      </c>
      <c r="H42" s="11" t="n">
        <v>24.5</v>
      </c>
      <c r="I42" s="12" t="n">
        <v>19</v>
      </c>
      <c r="J42" s="11" t="n">
        <v>128.2</v>
      </c>
      <c r="K42" s="13" t="n">
        <v>78.7</v>
      </c>
      <c r="L42" s="2" t="s">
        <v>104</v>
      </c>
      <c r="M42" s="14" t="n">
        <v>19161</v>
      </c>
      <c r="N42" s="2" t="s">
        <v>73</v>
      </c>
      <c r="O42" s="14" t="n">
        <f aca="false">IFERROR(M42/I42,"")</f>
        <v>1008.47368421053</v>
      </c>
    </row>
    <row r="43" customFormat="false" ht="15" hidden="false" customHeight="false" outlineLevel="0" collapsed="false">
      <c r="A43" s="2" t="s">
        <v>187</v>
      </c>
      <c r="B43" s="2" t="s">
        <v>82</v>
      </c>
      <c r="C43" s="2" t="s">
        <v>83</v>
      </c>
      <c r="D43" s="2" t="s">
        <v>122</v>
      </c>
      <c r="E43" s="2" t="s">
        <v>107</v>
      </c>
      <c r="F43" s="2" t="s">
        <v>188</v>
      </c>
      <c r="G43" s="11" t="n">
        <v>14.5</v>
      </c>
      <c r="H43" s="11" t="n">
        <v>8.7</v>
      </c>
      <c r="I43" s="12" t="n">
        <v>8</v>
      </c>
      <c r="J43" s="11" t="n">
        <v>16.3</v>
      </c>
      <c r="K43" s="13" t="n">
        <v>45.2</v>
      </c>
      <c r="L43" s="2" t="s">
        <v>109</v>
      </c>
      <c r="M43" s="14" t="n">
        <v>660</v>
      </c>
      <c r="N43" s="2" t="s">
        <v>135</v>
      </c>
      <c r="O43" s="14" t="n">
        <f aca="false">IFERROR(M43/I43,"")</f>
        <v>82.5</v>
      </c>
    </row>
    <row r="44" customFormat="false" ht="15" hidden="false" customHeight="false" outlineLevel="0" collapsed="false">
      <c r="A44" s="2" t="s">
        <v>189</v>
      </c>
      <c r="B44" s="2" t="s">
        <v>82</v>
      </c>
      <c r="C44" s="2" t="s">
        <v>83</v>
      </c>
      <c r="D44" s="2" t="s">
        <v>122</v>
      </c>
      <c r="E44" s="2" t="s">
        <v>107</v>
      </c>
      <c r="F44" s="2" t="s">
        <v>190</v>
      </c>
      <c r="G44" s="11" t="n">
        <v>10.3</v>
      </c>
      <c r="H44" s="11" t="n">
        <v>9.8</v>
      </c>
      <c r="I44" s="12" t="n">
        <v>23</v>
      </c>
      <c r="J44" s="11" t="n">
        <v>44.2</v>
      </c>
      <c r="K44" s="13" t="n">
        <v>48.5</v>
      </c>
      <c r="L44" s="2" t="s">
        <v>104</v>
      </c>
      <c r="M44" s="14" t="n">
        <v>694</v>
      </c>
      <c r="N44" s="2" t="s">
        <v>138</v>
      </c>
      <c r="O44" s="14" t="n">
        <f aca="false">IFERROR(M44/I44,"")</f>
        <v>30.1739130434783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126</v>
      </c>
      <c r="D45" s="2" t="s">
        <v>77</v>
      </c>
      <c r="E45" s="2" t="s">
        <v>78</v>
      </c>
      <c r="F45" s="2" t="s">
        <v>193</v>
      </c>
      <c r="G45" s="11" t="n">
        <v>477.8</v>
      </c>
      <c r="H45" s="11" t="n">
        <v>633.8</v>
      </c>
      <c r="I45" s="12" t="n">
        <v>10</v>
      </c>
      <c r="J45" s="11" t="n">
        <v>1130.9</v>
      </c>
      <c r="K45" s="13" t="n">
        <v>66.8</v>
      </c>
      <c r="L45" s="2" t="s">
        <v>72</v>
      </c>
      <c r="M45" s="14" t="n">
        <v>158828</v>
      </c>
      <c r="N45" s="2" t="s">
        <v>80</v>
      </c>
      <c r="O45" s="14" t="n">
        <f aca="false">IFERROR(M45/I45,"")</f>
        <v>15882.8</v>
      </c>
    </row>
    <row r="46" customFormat="false" ht="15" hidden="false" customHeight="false" outlineLevel="0" collapsed="false">
      <c r="A46" s="2" t="s">
        <v>194</v>
      </c>
      <c r="B46" s="2" t="s">
        <v>93</v>
      </c>
      <c r="C46" s="2" t="s">
        <v>83</v>
      </c>
      <c r="D46" s="2" t="s">
        <v>130</v>
      </c>
      <c r="E46" s="2" t="s">
        <v>90</v>
      </c>
      <c r="F46" s="2" t="s">
        <v>195</v>
      </c>
      <c r="G46" s="11" t="n">
        <v>14.3</v>
      </c>
      <c r="H46" s="11" t="n">
        <v>7.2</v>
      </c>
      <c r="I46" s="12" t="n">
        <v>38</v>
      </c>
      <c r="J46" s="11" t="n">
        <v>48.2</v>
      </c>
      <c r="K46" s="13" t="n">
        <v>45</v>
      </c>
      <c r="L46" s="2" t="s">
        <v>109</v>
      </c>
      <c r="M46" s="14" t="n">
        <v>787</v>
      </c>
      <c r="N46" s="2" t="s">
        <v>80</v>
      </c>
      <c r="O46" s="14" t="n">
        <f aca="false">IFERROR(M46/I46,"")</f>
        <v>20.7105263157895</v>
      </c>
    </row>
    <row r="47" customFormat="false" ht="15" hidden="false" customHeight="false" outlineLevel="0" collapsed="false">
      <c r="A47" s="2" t="s">
        <v>196</v>
      </c>
      <c r="B47" s="2" t="s">
        <v>82</v>
      </c>
      <c r="C47" s="2" t="s">
        <v>83</v>
      </c>
      <c r="D47" s="2" t="s">
        <v>69</v>
      </c>
      <c r="E47" s="2" t="s">
        <v>90</v>
      </c>
      <c r="F47" s="2" t="s">
        <v>197</v>
      </c>
      <c r="G47" s="11" t="n">
        <v>13.7</v>
      </c>
      <c r="H47" s="11" t="n">
        <v>8.1</v>
      </c>
      <c r="I47" s="12" t="n">
        <v>22</v>
      </c>
      <c r="J47" s="11" t="n">
        <v>77</v>
      </c>
      <c r="K47" s="13" t="n">
        <v>60.6</v>
      </c>
      <c r="L47" s="2" t="s">
        <v>87</v>
      </c>
      <c r="M47" s="14" t="n">
        <v>594</v>
      </c>
      <c r="N47" s="2" t="s">
        <v>73</v>
      </c>
      <c r="O47" s="14" t="n">
        <f aca="false">IFERROR(M47/I47,"")</f>
        <v>27</v>
      </c>
    </row>
    <row r="48" customFormat="false" ht="15" hidden="false" customHeight="false" outlineLevel="0" collapsed="false">
      <c r="A48" s="2" t="s">
        <v>198</v>
      </c>
      <c r="B48" s="2" t="s">
        <v>111</v>
      </c>
      <c r="C48" s="2" t="s">
        <v>76</v>
      </c>
      <c r="D48" s="2" t="s">
        <v>77</v>
      </c>
      <c r="E48" s="2" t="s">
        <v>78</v>
      </c>
      <c r="F48" s="2" t="s">
        <v>199</v>
      </c>
      <c r="G48" s="11" t="n">
        <v>49.4</v>
      </c>
      <c r="H48" s="11" t="n">
        <v>23.6</v>
      </c>
      <c r="I48" s="12" t="n">
        <v>16</v>
      </c>
      <c r="J48" s="11" t="n">
        <v>109.4</v>
      </c>
      <c r="K48" s="13" t="n">
        <v>70.3</v>
      </c>
      <c r="L48" s="2" t="s">
        <v>72</v>
      </c>
      <c r="M48" s="14" t="n">
        <v>28065</v>
      </c>
      <c r="N48" s="2" t="s">
        <v>73</v>
      </c>
      <c r="O48" s="14" t="n">
        <f aca="false">IFERROR(M48/I48,"")</f>
        <v>1754.0625</v>
      </c>
    </row>
    <row r="49" customFormat="false" ht="15" hidden="false" customHeight="false" outlineLevel="0" collapsed="false">
      <c r="A49" s="2" t="s">
        <v>200</v>
      </c>
      <c r="B49" s="2" t="s">
        <v>67</v>
      </c>
      <c r="C49" s="2" t="s">
        <v>68</v>
      </c>
      <c r="D49" s="2" t="s">
        <v>84</v>
      </c>
      <c r="E49" s="2" t="s">
        <v>98</v>
      </c>
      <c r="F49" s="2" t="s">
        <v>201</v>
      </c>
      <c r="G49" s="11" t="n">
        <v>55.1</v>
      </c>
      <c r="H49" s="11" t="n">
        <v>17.8</v>
      </c>
      <c r="I49" s="12" t="n">
        <v>7</v>
      </c>
      <c r="J49" s="11" t="n">
        <v>51.4</v>
      </c>
      <c r="K49" s="13" t="n">
        <v>81</v>
      </c>
      <c r="L49" s="2" t="s">
        <v>104</v>
      </c>
      <c r="M49" s="14" t="n">
        <v>2553</v>
      </c>
      <c r="N49" s="2" t="s">
        <v>73</v>
      </c>
      <c r="O49" s="14" t="n">
        <f aca="false">IFERROR(M49/I49,"")</f>
        <v>364.714285714286</v>
      </c>
    </row>
    <row r="50" customFormat="false" ht="15" hidden="false" customHeight="false" outlineLevel="0" collapsed="false">
      <c r="A50" s="2" t="s">
        <v>202</v>
      </c>
      <c r="B50" s="2" t="s">
        <v>125</v>
      </c>
      <c r="C50" s="2" t="s">
        <v>126</v>
      </c>
      <c r="D50" s="2" t="s">
        <v>77</v>
      </c>
      <c r="E50" s="2" t="s">
        <v>90</v>
      </c>
      <c r="F50" s="2" t="s">
        <v>203</v>
      </c>
      <c r="G50" s="11" t="n">
        <v>493.8</v>
      </c>
      <c r="H50" s="11" t="n">
        <v>631</v>
      </c>
      <c r="I50" s="12" t="n">
        <v>33</v>
      </c>
      <c r="J50" s="11" t="n">
        <v>5094.7</v>
      </c>
      <c r="K50" s="13" t="n">
        <v>76.3</v>
      </c>
      <c r="L50" s="2" t="s">
        <v>72</v>
      </c>
      <c r="M50" s="14" t="n">
        <v>135355</v>
      </c>
      <c r="N50" s="2" t="s">
        <v>80</v>
      </c>
      <c r="O50" s="14" t="n">
        <f aca="false">IFERROR(M50/I50,"")</f>
        <v>4101.66666666667</v>
      </c>
    </row>
    <row r="51" customFormat="false" ht="15" hidden="false" customHeight="false" outlineLevel="0" collapsed="false">
      <c r="A51" s="2" t="s">
        <v>204</v>
      </c>
      <c r="B51" s="2" t="s">
        <v>93</v>
      </c>
      <c r="C51" s="2" t="s">
        <v>83</v>
      </c>
      <c r="D51" s="2" t="s">
        <v>77</v>
      </c>
      <c r="E51" s="2" t="s">
        <v>116</v>
      </c>
      <c r="F51" s="2" t="s">
        <v>201</v>
      </c>
      <c r="G51" s="11" t="n">
        <v>19.1</v>
      </c>
      <c r="H51" s="11" t="n">
        <v>10.3</v>
      </c>
      <c r="I51" s="12" t="n">
        <v>34</v>
      </c>
      <c r="J51" s="11" t="n">
        <v>94.6</v>
      </c>
      <c r="K51" s="13" t="n">
        <v>58</v>
      </c>
      <c r="L51" s="2" t="s">
        <v>87</v>
      </c>
      <c r="M51" s="14" t="n">
        <v>428</v>
      </c>
      <c r="N51" s="2" t="s">
        <v>80</v>
      </c>
      <c r="O51" s="14" t="n">
        <f aca="false">IFERROR(M51/I51,"")</f>
        <v>12.5882352941176</v>
      </c>
    </row>
    <row r="52" customFormat="false" ht="15" hidden="false" customHeight="false" outlineLevel="0" collapsed="false">
      <c r="A52" s="2" t="s">
        <v>205</v>
      </c>
      <c r="B52" s="2" t="s">
        <v>75</v>
      </c>
      <c r="C52" s="2" t="s">
        <v>76</v>
      </c>
      <c r="D52" s="2" t="s">
        <v>84</v>
      </c>
      <c r="E52" s="2" t="s">
        <v>85</v>
      </c>
      <c r="F52" s="2" t="s">
        <v>206</v>
      </c>
      <c r="G52" s="11" t="n">
        <v>43.1</v>
      </c>
      <c r="H52" s="11" t="n">
        <v>13.5</v>
      </c>
      <c r="I52" s="12" t="n">
        <v>31</v>
      </c>
      <c r="J52" s="11" t="n">
        <v>349.6</v>
      </c>
      <c r="K52" s="13" t="n">
        <v>69.2</v>
      </c>
      <c r="L52" s="2" t="s">
        <v>104</v>
      </c>
      <c r="M52" s="14" t="n">
        <v>24807</v>
      </c>
      <c r="N52" s="2" t="s">
        <v>73</v>
      </c>
      <c r="O52" s="14" t="n">
        <f aca="false">IFERROR(M52/I52,"")</f>
        <v>800.225806451613</v>
      </c>
    </row>
    <row r="53" customFormat="false" ht="15" hidden="false" customHeight="false" outlineLevel="0" collapsed="false">
      <c r="A53" s="2" t="s">
        <v>207</v>
      </c>
      <c r="B53" s="2" t="s">
        <v>82</v>
      </c>
      <c r="C53" s="2" t="s">
        <v>83</v>
      </c>
      <c r="D53" s="2" t="s">
        <v>69</v>
      </c>
      <c r="E53" s="2" t="s">
        <v>116</v>
      </c>
      <c r="F53" s="2" t="s">
        <v>208</v>
      </c>
      <c r="G53" s="11" t="n">
        <v>14.8</v>
      </c>
      <c r="H53" s="11" t="n">
        <v>11.1</v>
      </c>
      <c r="I53" s="12" t="n">
        <v>18</v>
      </c>
      <c r="J53" s="11" t="n">
        <v>31.1</v>
      </c>
      <c r="K53" s="13" t="n">
        <v>67.1</v>
      </c>
      <c r="L53" s="2" t="s">
        <v>87</v>
      </c>
      <c r="M53" s="14" t="n">
        <v>544</v>
      </c>
      <c r="N53" s="2" t="s">
        <v>73</v>
      </c>
      <c r="O53" s="14" t="n">
        <f aca="false">IFERROR(M53/I53,"")</f>
        <v>30.2222222222222</v>
      </c>
    </row>
    <row r="54" customFormat="false" ht="15" hidden="false" customHeight="false" outlineLevel="0" collapsed="false">
      <c r="A54" s="2" t="s">
        <v>209</v>
      </c>
      <c r="B54" s="2" t="s">
        <v>93</v>
      </c>
      <c r="C54" s="2" t="s">
        <v>83</v>
      </c>
      <c r="D54" s="2" t="s">
        <v>84</v>
      </c>
      <c r="E54" s="2" t="s">
        <v>116</v>
      </c>
      <c r="F54" s="2" t="s">
        <v>210</v>
      </c>
      <c r="G54" s="11" t="n">
        <v>12.8</v>
      </c>
      <c r="H54" s="11" t="n">
        <v>6.3</v>
      </c>
      <c r="I54" s="12" t="n">
        <v>48</v>
      </c>
      <c r="J54" s="11" t="n">
        <v>58.3</v>
      </c>
      <c r="K54" s="13" t="n">
        <v>42.2</v>
      </c>
      <c r="L54" s="2" t="s">
        <v>72</v>
      </c>
      <c r="M54" s="14" t="n">
        <v>553</v>
      </c>
      <c r="N54" s="2" t="s">
        <v>135</v>
      </c>
      <c r="O54" s="14" t="n">
        <f aca="false">IFERROR(M54/I54,"")</f>
        <v>11.5208333333333</v>
      </c>
    </row>
    <row r="55" customFormat="false" ht="15" hidden="false" customHeight="false" outlineLevel="0" collapsed="false">
      <c r="A55" s="2" t="s">
        <v>211</v>
      </c>
      <c r="B55" s="2" t="s">
        <v>82</v>
      </c>
      <c r="C55" s="2" t="s">
        <v>83</v>
      </c>
      <c r="D55" s="2" t="s">
        <v>77</v>
      </c>
      <c r="E55" s="2" t="s">
        <v>85</v>
      </c>
      <c r="F55" s="2" t="s">
        <v>212</v>
      </c>
      <c r="G55" s="11" t="n">
        <v>17</v>
      </c>
      <c r="H55" s="11" t="n">
        <v>9</v>
      </c>
      <c r="I55" s="12" t="n">
        <v>9</v>
      </c>
      <c r="J55" s="11" t="n">
        <v>32.8</v>
      </c>
      <c r="K55" s="13" t="n">
        <v>51.7</v>
      </c>
      <c r="L55" s="2" t="s">
        <v>104</v>
      </c>
      <c r="M55" s="14" t="n">
        <v>756</v>
      </c>
      <c r="N55" s="2" t="s">
        <v>80</v>
      </c>
      <c r="O55" s="14" t="n">
        <f aca="false">IFERROR(M55/I55,"")</f>
        <v>84</v>
      </c>
    </row>
    <row r="56" customFormat="false" ht="15" hidden="false" customHeight="false" outlineLevel="0" collapsed="false">
      <c r="A56" s="2" t="s">
        <v>213</v>
      </c>
      <c r="B56" s="2" t="s">
        <v>93</v>
      </c>
      <c r="C56" s="2" t="s">
        <v>83</v>
      </c>
      <c r="D56" s="2" t="s">
        <v>77</v>
      </c>
      <c r="E56" s="2" t="s">
        <v>116</v>
      </c>
      <c r="F56" s="2" t="s">
        <v>214</v>
      </c>
      <c r="G56" s="11" t="n">
        <v>11.6</v>
      </c>
      <c r="H56" s="11" t="n">
        <v>9.2</v>
      </c>
      <c r="I56" s="12" t="n">
        <v>16</v>
      </c>
      <c r="J56" s="11" t="n">
        <v>29.7</v>
      </c>
      <c r="K56" s="13" t="n">
        <v>53</v>
      </c>
      <c r="L56" s="2" t="s">
        <v>72</v>
      </c>
      <c r="M56" s="14" t="n">
        <v>853</v>
      </c>
      <c r="N56" s="2" t="s">
        <v>73</v>
      </c>
      <c r="O56" s="14" t="n">
        <f aca="false">IFERROR(M56/I56,"")</f>
        <v>53.3125</v>
      </c>
    </row>
    <row r="57" customFormat="false" ht="15" hidden="false" customHeight="false" outlineLevel="0" collapsed="false">
      <c r="A57" s="2" t="s">
        <v>215</v>
      </c>
      <c r="B57" s="2" t="s">
        <v>75</v>
      </c>
      <c r="C57" s="2" t="s">
        <v>76</v>
      </c>
      <c r="D57" s="2" t="s">
        <v>77</v>
      </c>
      <c r="E57" s="2" t="s">
        <v>116</v>
      </c>
      <c r="F57" s="2" t="s">
        <v>216</v>
      </c>
      <c r="G57" s="11" t="n">
        <v>38.9</v>
      </c>
      <c r="H57" s="11" t="n">
        <v>21.5</v>
      </c>
      <c r="I57" s="12" t="n">
        <v>10</v>
      </c>
      <c r="J57" s="11" t="n">
        <v>55</v>
      </c>
      <c r="K57" s="13" t="n">
        <v>81.6</v>
      </c>
      <c r="L57" s="2" t="s">
        <v>87</v>
      </c>
      <c r="M57" s="14" t="n">
        <v>18991</v>
      </c>
      <c r="N57" s="2" t="s">
        <v>80</v>
      </c>
      <c r="O57" s="14" t="n">
        <f aca="false">IFERROR(M57/I57,"")</f>
        <v>1899.1</v>
      </c>
    </row>
    <row r="58" customFormat="false" ht="15" hidden="false" customHeight="false" outlineLevel="0" collapsed="false">
      <c r="A58" s="2" t="s">
        <v>217</v>
      </c>
      <c r="B58" s="2" t="s">
        <v>111</v>
      </c>
      <c r="C58" s="2" t="s">
        <v>76</v>
      </c>
      <c r="D58" s="2" t="s">
        <v>69</v>
      </c>
      <c r="E58" s="2" t="s">
        <v>107</v>
      </c>
      <c r="F58" s="2" t="s">
        <v>218</v>
      </c>
      <c r="G58" s="11" t="n">
        <v>41.6</v>
      </c>
      <c r="H58" s="11" t="n">
        <v>22.7</v>
      </c>
      <c r="I58" s="12" t="n">
        <v>9</v>
      </c>
      <c r="J58" s="11" t="n">
        <v>105.3</v>
      </c>
      <c r="K58" s="13" t="n">
        <v>52.8</v>
      </c>
      <c r="L58" s="2" t="s">
        <v>109</v>
      </c>
      <c r="M58" s="14" t="n">
        <v>27383</v>
      </c>
      <c r="N58" s="2" t="s">
        <v>135</v>
      </c>
      <c r="O58" s="14" t="n">
        <f aca="false">IFERROR(M58/I58,"")</f>
        <v>3042.55555555556</v>
      </c>
    </row>
    <row r="59" customFormat="false" ht="15" hidden="false" customHeight="false" outlineLevel="0" collapsed="false">
      <c r="A59" s="2" t="s">
        <v>219</v>
      </c>
      <c r="B59" s="2" t="s">
        <v>89</v>
      </c>
      <c r="C59" s="2" t="s">
        <v>83</v>
      </c>
      <c r="D59" s="2" t="s">
        <v>84</v>
      </c>
      <c r="E59" s="2" t="s">
        <v>78</v>
      </c>
      <c r="F59" s="2" t="s">
        <v>220</v>
      </c>
      <c r="G59" s="11" t="n">
        <v>13.6</v>
      </c>
      <c r="H59" s="11" t="n">
        <v>8.2</v>
      </c>
      <c r="I59" s="12" t="n">
        <v>9</v>
      </c>
      <c r="J59" s="11" t="n">
        <v>10</v>
      </c>
      <c r="K59" s="13" t="n">
        <v>45.9</v>
      </c>
      <c r="L59" s="2" t="s">
        <v>109</v>
      </c>
      <c r="M59" s="14" t="n">
        <v>712</v>
      </c>
      <c r="N59" s="2" t="s">
        <v>138</v>
      </c>
      <c r="O59" s="14" t="n">
        <f aca="false">IFERROR(M59/I59,"")</f>
        <v>79.1111111111111</v>
      </c>
    </row>
    <row r="60" customFormat="false" ht="15" hidden="false" customHeight="false" outlineLevel="0" collapsed="false">
      <c r="A60" s="2" t="s">
        <v>221</v>
      </c>
      <c r="B60" s="2" t="s">
        <v>67</v>
      </c>
      <c r="C60" s="2" t="s">
        <v>68</v>
      </c>
      <c r="D60" s="2" t="s">
        <v>84</v>
      </c>
      <c r="E60" s="2" t="s">
        <v>116</v>
      </c>
      <c r="F60" s="2" t="s">
        <v>222</v>
      </c>
      <c r="G60" s="11" t="n">
        <v>49.5</v>
      </c>
      <c r="H60" s="11" t="n">
        <v>15.9</v>
      </c>
      <c r="I60" s="12" t="n">
        <v>2</v>
      </c>
      <c r="J60" s="11" t="n">
        <v>29.5</v>
      </c>
      <c r="K60" s="13" t="n">
        <v>82.4</v>
      </c>
      <c r="L60" s="2" t="s">
        <v>87</v>
      </c>
      <c r="M60" s="14" t="n">
        <v>3487</v>
      </c>
      <c r="N60" s="2" t="s">
        <v>135</v>
      </c>
      <c r="O60" s="14" t="n">
        <f aca="false">IFERROR(M60/I60,"")</f>
        <v>1743.5</v>
      </c>
    </row>
    <row r="61" customFormat="false" ht="15" hidden="false" customHeight="false" outlineLevel="0" collapsed="false">
      <c r="A61" s="2" t="s">
        <v>223</v>
      </c>
      <c r="B61" s="2" t="s">
        <v>96</v>
      </c>
      <c r="C61" s="2" t="s">
        <v>97</v>
      </c>
      <c r="D61" s="2" t="s">
        <v>130</v>
      </c>
      <c r="E61" s="2" t="s">
        <v>107</v>
      </c>
      <c r="F61" s="2" t="s">
        <v>224</v>
      </c>
      <c r="G61" s="11" t="n">
        <v>31.4</v>
      </c>
      <c r="H61" s="11" t="n">
        <v>34.4</v>
      </c>
      <c r="I61" s="12" t="n">
        <v>14</v>
      </c>
      <c r="J61" s="11" t="n">
        <v>53.4</v>
      </c>
      <c r="K61" s="13" t="n">
        <v>50.8</v>
      </c>
      <c r="L61" s="2" t="s">
        <v>109</v>
      </c>
      <c r="M61" s="14" t="n">
        <v>10961</v>
      </c>
      <c r="N61" s="2" t="s">
        <v>80</v>
      </c>
      <c r="O61" s="14" t="n">
        <f aca="false">IFERROR(M61/I61,"")</f>
        <v>782.928571428571</v>
      </c>
    </row>
    <row r="62" customFormat="false" ht="15" hidden="false" customHeight="false" outlineLevel="0" collapsed="false">
      <c r="A62" s="2" t="s">
        <v>225</v>
      </c>
      <c r="B62" s="2" t="s">
        <v>89</v>
      </c>
      <c r="C62" s="2" t="s">
        <v>83</v>
      </c>
      <c r="D62" s="2" t="s">
        <v>77</v>
      </c>
      <c r="E62" s="2" t="s">
        <v>85</v>
      </c>
      <c r="F62" s="2" t="s">
        <v>155</v>
      </c>
      <c r="G62" s="11" t="n">
        <v>13.4</v>
      </c>
      <c r="H62" s="11" t="n">
        <v>9.2</v>
      </c>
      <c r="I62" s="12" t="n">
        <v>30</v>
      </c>
      <c r="J62" s="11" t="n">
        <v>92.8</v>
      </c>
      <c r="K62" s="13" t="n">
        <v>51</v>
      </c>
      <c r="L62" s="2" t="s">
        <v>109</v>
      </c>
      <c r="M62" s="14" t="n">
        <v>484</v>
      </c>
      <c r="N62" s="2" t="s">
        <v>80</v>
      </c>
      <c r="O62" s="14" t="n">
        <f aca="false">IFERROR(M62/I62,"")</f>
        <v>16.1333333333333</v>
      </c>
    </row>
    <row r="63" customFormat="false" ht="15" hidden="false" customHeight="false" outlineLevel="0" collapsed="false">
      <c r="A63" s="2" t="s">
        <v>226</v>
      </c>
      <c r="B63" s="2" t="s">
        <v>82</v>
      </c>
      <c r="C63" s="2" t="s">
        <v>83</v>
      </c>
      <c r="D63" s="2" t="s">
        <v>84</v>
      </c>
      <c r="E63" s="2" t="s">
        <v>116</v>
      </c>
      <c r="F63" s="2" t="s">
        <v>227</v>
      </c>
      <c r="G63" s="11" t="n">
        <v>9.8</v>
      </c>
      <c r="H63" s="11" t="n">
        <v>8</v>
      </c>
      <c r="I63" s="12" t="n">
        <v>45</v>
      </c>
      <c r="J63" s="11" t="n">
        <v>49.2</v>
      </c>
      <c r="K63" s="13" t="n">
        <v>54.6</v>
      </c>
      <c r="L63" s="2" t="s">
        <v>104</v>
      </c>
      <c r="M63" s="14" t="n">
        <v>656</v>
      </c>
      <c r="N63" s="2" t="s">
        <v>80</v>
      </c>
      <c r="O63" s="14" t="n">
        <f aca="false">IFERROR(M63/I63,"")</f>
        <v>14.5777777777778</v>
      </c>
    </row>
    <row r="64" customFormat="false" ht="15" hidden="false" customHeight="false" outlineLevel="0" collapsed="false">
      <c r="A64" s="2" t="s">
        <v>228</v>
      </c>
      <c r="B64" s="2" t="s">
        <v>93</v>
      </c>
      <c r="C64" s="2" t="s">
        <v>83</v>
      </c>
      <c r="D64" s="2" t="s">
        <v>130</v>
      </c>
      <c r="E64" s="2" t="s">
        <v>90</v>
      </c>
      <c r="F64" s="2" t="s">
        <v>229</v>
      </c>
      <c r="G64" s="11" t="n">
        <v>16.3</v>
      </c>
      <c r="H64" s="11" t="n">
        <v>9.5</v>
      </c>
      <c r="I64" s="12" t="n">
        <v>27</v>
      </c>
      <c r="J64" s="11" t="n">
        <v>110.8</v>
      </c>
      <c r="K64" s="13" t="n">
        <v>58.8</v>
      </c>
      <c r="L64" s="2" t="s">
        <v>87</v>
      </c>
      <c r="M64" s="14" t="n">
        <v>664</v>
      </c>
      <c r="N64" s="2" t="s">
        <v>80</v>
      </c>
      <c r="O64" s="14" t="n">
        <f aca="false">IFERROR(M64/I64,"")</f>
        <v>24.5925925925926</v>
      </c>
    </row>
    <row r="65" customFormat="false" ht="15" hidden="false" customHeight="false" outlineLevel="0" collapsed="false">
      <c r="A65" s="2" t="s">
        <v>230</v>
      </c>
      <c r="B65" s="2" t="s">
        <v>165</v>
      </c>
      <c r="C65" s="2" t="s">
        <v>68</v>
      </c>
      <c r="D65" s="2" t="s">
        <v>77</v>
      </c>
      <c r="E65" s="2" t="s">
        <v>107</v>
      </c>
      <c r="F65" s="2" t="s">
        <v>180</v>
      </c>
      <c r="G65" s="11" t="n">
        <v>68.3</v>
      </c>
      <c r="H65" s="11" t="n">
        <v>15.5</v>
      </c>
      <c r="I65" s="12" t="n">
        <v>23</v>
      </c>
      <c r="J65" s="11" t="n">
        <v>399.1</v>
      </c>
      <c r="K65" s="13" t="n">
        <v>89.6</v>
      </c>
      <c r="L65" s="2" t="s">
        <v>104</v>
      </c>
      <c r="M65" s="14" t="n">
        <v>3058</v>
      </c>
      <c r="N65" s="2" t="s">
        <v>135</v>
      </c>
      <c r="O65" s="14" t="n">
        <f aca="false">IFERROR(M65/I65,"")</f>
        <v>132.95652173913</v>
      </c>
    </row>
    <row r="66" customFormat="false" ht="15" hidden="false" customHeight="false" outlineLevel="0" collapsed="false">
      <c r="A66" s="2" t="s">
        <v>231</v>
      </c>
      <c r="B66" s="2" t="s">
        <v>101</v>
      </c>
      <c r="C66" s="2" t="s">
        <v>102</v>
      </c>
      <c r="D66" s="2" t="s">
        <v>77</v>
      </c>
      <c r="E66" s="2" t="s">
        <v>90</v>
      </c>
      <c r="F66" s="2" t="s">
        <v>232</v>
      </c>
      <c r="G66" s="11" t="n">
        <v>33.2</v>
      </c>
      <c r="H66" s="11" t="n">
        <v>22.6</v>
      </c>
      <c r="I66" s="12" t="n">
        <v>10</v>
      </c>
      <c r="J66" s="11" t="n">
        <v>9.4</v>
      </c>
      <c r="K66" s="13" t="n">
        <v>94.6</v>
      </c>
      <c r="L66" s="2" t="s">
        <v>87</v>
      </c>
      <c r="M66" s="14" t="n">
        <v>6966</v>
      </c>
      <c r="N66" s="2" t="s">
        <v>73</v>
      </c>
      <c r="O66" s="14" t="n">
        <f aca="false">IFERROR(M66/I66,"")</f>
        <v>696.6</v>
      </c>
    </row>
    <row r="67" customFormat="false" ht="15" hidden="false" customHeight="false" outlineLevel="0" collapsed="false">
      <c r="A67" s="2" t="s">
        <v>233</v>
      </c>
      <c r="B67" s="2" t="s">
        <v>119</v>
      </c>
      <c r="C67" s="2" t="s">
        <v>102</v>
      </c>
      <c r="D67" s="2" t="s">
        <v>77</v>
      </c>
      <c r="E67" s="2" t="s">
        <v>85</v>
      </c>
      <c r="F67" s="2" t="s">
        <v>234</v>
      </c>
      <c r="G67" s="11" t="n">
        <v>42.8</v>
      </c>
      <c r="H67" s="11" t="n">
        <v>24</v>
      </c>
      <c r="I67" s="12" t="n">
        <v>6</v>
      </c>
      <c r="J67" s="11" t="n">
        <v>35.4</v>
      </c>
      <c r="K67" s="13" t="n">
        <v>96.1</v>
      </c>
      <c r="L67" s="2" t="s">
        <v>87</v>
      </c>
      <c r="M67" s="14" t="n">
        <v>6467</v>
      </c>
      <c r="N67" s="2" t="s">
        <v>73</v>
      </c>
      <c r="O67" s="14" t="n">
        <f aca="false">IFERROR(M67/I67,"")</f>
        <v>1077.83333333333</v>
      </c>
    </row>
    <row r="68" customFormat="false" ht="15" hidden="false" customHeight="false" outlineLevel="0" collapsed="false">
      <c r="A68" s="2" t="s">
        <v>235</v>
      </c>
      <c r="B68" s="2" t="s">
        <v>165</v>
      </c>
      <c r="C68" s="2" t="s">
        <v>68</v>
      </c>
      <c r="D68" s="2" t="s">
        <v>84</v>
      </c>
      <c r="E68" s="2" t="s">
        <v>78</v>
      </c>
      <c r="F68" s="2" t="s">
        <v>236</v>
      </c>
      <c r="G68" s="11" t="n">
        <v>50.9</v>
      </c>
      <c r="H68" s="11" t="n">
        <v>19.3</v>
      </c>
      <c r="I68" s="12" t="n">
        <v>4</v>
      </c>
      <c r="J68" s="11" t="n">
        <v>28.5</v>
      </c>
      <c r="K68" s="13" t="n">
        <v>76</v>
      </c>
      <c r="L68" s="2" t="s">
        <v>109</v>
      </c>
      <c r="M68" s="14" t="n">
        <v>3717</v>
      </c>
      <c r="N68" s="2" t="s">
        <v>135</v>
      </c>
      <c r="O68" s="14" t="n">
        <f aca="false">IFERROR(M68/I68,"")</f>
        <v>929.25</v>
      </c>
    </row>
    <row r="69" customFormat="false" ht="15" hidden="false" customHeight="false" outlineLevel="0" collapsed="false">
      <c r="A69" s="2" t="s">
        <v>237</v>
      </c>
      <c r="B69" s="2" t="s">
        <v>82</v>
      </c>
      <c r="C69" s="2" t="s">
        <v>83</v>
      </c>
      <c r="D69" s="2" t="s">
        <v>84</v>
      </c>
      <c r="E69" s="2" t="s">
        <v>85</v>
      </c>
      <c r="F69" s="2" t="s">
        <v>238</v>
      </c>
      <c r="G69" s="11" t="n">
        <v>12.1</v>
      </c>
      <c r="H69" s="11" t="n">
        <v>8.5</v>
      </c>
      <c r="I69" s="12" t="n">
        <v>18</v>
      </c>
      <c r="J69" s="11" t="n">
        <v>60.1</v>
      </c>
      <c r="K69" s="13" t="n">
        <v>55.6</v>
      </c>
      <c r="L69" s="2" t="s">
        <v>104</v>
      </c>
      <c r="M69" s="14" t="n">
        <v>728</v>
      </c>
      <c r="N69" s="2" t="s">
        <v>73</v>
      </c>
      <c r="O69" s="14" t="n">
        <f aca="false">IFERROR(M69/I69,"")</f>
        <v>40.4444444444444</v>
      </c>
    </row>
    <row r="70" customFormat="false" ht="15" hidden="false" customHeight="false" outlineLevel="0" collapsed="false">
      <c r="A70" s="2" t="s">
        <v>239</v>
      </c>
      <c r="B70" s="2" t="s">
        <v>125</v>
      </c>
      <c r="C70" s="2" t="s">
        <v>126</v>
      </c>
      <c r="D70" s="2" t="s">
        <v>77</v>
      </c>
      <c r="E70" s="2" t="s">
        <v>90</v>
      </c>
      <c r="F70" s="2" t="s">
        <v>240</v>
      </c>
      <c r="G70" s="11" t="n">
        <v>365.8</v>
      </c>
      <c r="H70" s="11" t="n">
        <v>636.7</v>
      </c>
      <c r="I70" s="12" t="n">
        <v>9</v>
      </c>
      <c r="J70" s="11" t="n">
        <v>662.6</v>
      </c>
      <c r="K70" s="13" t="n">
        <v>79.1</v>
      </c>
      <c r="L70" s="2" t="s">
        <v>104</v>
      </c>
      <c r="M70" s="14" t="n">
        <v>202999</v>
      </c>
      <c r="N70" s="2" t="s">
        <v>135</v>
      </c>
      <c r="O70" s="14" t="n">
        <f aca="false">IFERROR(M70/I70,"")</f>
        <v>22555.4444444444</v>
      </c>
    </row>
    <row r="71" customFormat="false" ht="15" hidden="false" customHeight="false" outlineLevel="0" collapsed="false">
      <c r="A71" s="2" t="s">
        <v>241</v>
      </c>
      <c r="B71" s="2" t="s">
        <v>82</v>
      </c>
      <c r="C71" s="2" t="s">
        <v>83</v>
      </c>
      <c r="D71" s="2" t="s">
        <v>130</v>
      </c>
      <c r="E71" s="2" t="s">
        <v>116</v>
      </c>
      <c r="F71" s="2" t="s">
        <v>242</v>
      </c>
      <c r="G71" s="11" t="n">
        <v>17.2</v>
      </c>
      <c r="H71" s="11" t="n">
        <v>11.3</v>
      </c>
      <c r="I71" s="12" t="n">
        <v>19</v>
      </c>
      <c r="J71" s="11" t="n">
        <v>57.9</v>
      </c>
      <c r="K71" s="13" t="n">
        <v>70.2</v>
      </c>
      <c r="L71" s="2" t="s">
        <v>87</v>
      </c>
      <c r="M71" s="14" t="n">
        <v>721</v>
      </c>
      <c r="N71" s="2" t="s">
        <v>73</v>
      </c>
      <c r="O71" s="14" t="n">
        <f aca="false">IFERROR(M71/I71,"")</f>
        <v>37.9473684210526</v>
      </c>
    </row>
    <row r="72" customFormat="false" ht="15" hidden="false" customHeight="false" outlineLevel="0" collapsed="false">
      <c r="A72" s="2" t="s">
        <v>243</v>
      </c>
      <c r="B72" s="2" t="s">
        <v>111</v>
      </c>
      <c r="C72" s="2" t="s">
        <v>76</v>
      </c>
      <c r="D72" s="2" t="s">
        <v>77</v>
      </c>
      <c r="E72" s="2" t="s">
        <v>107</v>
      </c>
      <c r="F72" s="2" t="s">
        <v>197</v>
      </c>
      <c r="G72" s="11" t="n">
        <v>50</v>
      </c>
      <c r="H72" s="11" t="n">
        <v>20.3</v>
      </c>
      <c r="I72" s="12" t="n">
        <v>6</v>
      </c>
      <c r="J72" s="11" t="n">
        <v>66.5</v>
      </c>
      <c r="K72" s="13" t="n">
        <v>61.3</v>
      </c>
      <c r="L72" s="2" t="s">
        <v>72</v>
      </c>
      <c r="M72" s="14" t="n">
        <v>19805</v>
      </c>
      <c r="N72" s="2" t="s">
        <v>138</v>
      </c>
      <c r="O72" s="14" t="n">
        <f aca="false">IFERROR(M72/I72,"")</f>
        <v>3300.83333333333</v>
      </c>
    </row>
    <row r="73" customFormat="false" ht="15" hidden="false" customHeight="false" outlineLevel="0" collapsed="false">
      <c r="A73" s="2" t="s">
        <v>244</v>
      </c>
      <c r="B73" s="2" t="s">
        <v>89</v>
      </c>
      <c r="C73" s="2" t="s">
        <v>83</v>
      </c>
      <c r="D73" s="2" t="s">
        <v>69</v>
      </c>
      <c r="E73" s="2" t="s">
        <v>85</v>
      </c>
      <c r="F73" s="2" t="s">
        <v>103</v>
      </c>
      <c r="G73" s="11" t="n">
        <v>15.4</v>
      </c>
      <c r="H73" s="11" t="n">
        <v>10.9</v>
      </c>
      <c r="I73" s="12" t="n">
        <v>17</v>
      </c>
      <c r="J73" s="11" t="n">
        <v>43.8</v>
      </c>
      <c r="K73" s="13" t="n">
        <v>60.6</v>
      </c>
      <c r="L73" s="2" t="s">
        <v>104</v>
      </c>
      <c r="M73" s="14" t="n">
        <v>836</v>
      </c>
      <c r="N73" s="2" t="s">
        <v>138</v>
      </c>
      <c r="O73" s="14" t="n">
        <f aca="false">IFERROR(M73/I73,"")</f>
        <v>49.1764705882353</v>
      </c>
    </row>
    <row r="74" customFormat="false" ht="15" hidden="false" customHeight="false" outlineLevel="0" collapsed="false">
      <c r="A74" s="2" t="s">
        <v>245</v>
      </c>
      <c r="B74" s="2" t="s">
        <v>133</v>
      </c>
      <c r="C74" s="2" t="s">
        <v>97</v>
      </c>
      <c r="D74" s="2" t="s">
        <v>77</v>
      </c>
      <c r="E74" s="2" t="s">
        <v>78</v>
      </c>
      <c r="F74" s="2" t="s">
        <v>246</v>
      </c>
      <c r="G74" s="11" t="n">
        <v>24</v>
      </c>
      <c r="H74" s="11" t="n">
        <v>27.5</v>
      </c>
      <c r="I74" s="12" t="n">
        <v>10</v>
      </c>
      <c r="J74" s="11" t="n">
        <v>52.3</v>
      </c>
      <c r="K74" s="13" t="n">
        <v>53</v>
      </c>
      <c r="L74" s="2" t="s">
        <v>72</v>
      </c>
      <c r="M74" s="14" t="n">
        <v>11432</v>
      </c>
      <c r="N74" s="2" t="s">
        <v>73</v>
      </c>
      <c r="O74" s="14" t="n">
        <f aca="false">IFERROR(M74/I74,"")</f>
        <v>1143.2</v>
      </c>
    </row>
    <row r="75" customFormat="false" ht="15" hidden="false" customHeight="false" outlineLevel="0" collapsed="false">
      <c r="A75" s="2" t="s">
        <v>247</v>
      </c>
      <c r="B75" s="2" t="s">
        <v>101</v>
      </c>
      <c r="C75" s="2" t="s">
        <v>102</v>
      </c>
      <c r="D75" s="2" t="s">
        <v>84</v>
      </c>
      <c r="E75" s="2" t="s">
        <v>98</v>
      </c>
      <c r="F75" s="2" t="s">
        <v>153</v>
      </c>
      <c r="G75" s="11" t="n">
        <v>40</v>
      </c>
      <c r="H75" s="11" t="n">
        <v>27.5</v>
      </c>
      <c r="I75" s="12" t="n">
        <v>10</v>
      </c>
      <c r="J75" s="11" t="n">
        <v>103.2</v>
      </c>
      <c r="K75" s="13" t="n">
        <v>87.4</v>
      </c>
      <c r="L75" s="2" t="s">
        <v>72</v>
      </c>
      <c r="M75" s="14" t="n">
        <v>9356</v>
      </c>
      <c r="N75" s="2" t="s">
        <v>73</v>
      </c>
      <c r="O75" s="14" t="n">
        <f aca="false">IFERROR(M75/I75,"")</f>
        <v>935.6</v>
      </c>
    </row>
    <row r="76" customFormat="false" ht="15" hidden="false" customHeight="false" outlineLevel="0" collapsed="false">
      <c r="A76" s="2" t="s">
        <v>248</v>
      </c>
      <c r="B76" s="2" t="s">
        <v>101</v>
      </c>
      <c r="C76" s="2" t="s">
        <v>102</v>
      </c>
      <c r="D76" s="2" t="s">
        <v>77</v>
      </c>
      <c r="E76" s="2" t="s">
        <v>116</v>
      </c>
      <c r="F76" s="2" t="s">
        <v>249</v>
      </c>
      <c r="G76" s="11" t="n">
        <v>30.5</v>
      </c>
      <c r="H76" s="11" t="n">
        <v>24.2</v>
      </c>
      <c r="I76" s="12" t="n">
        <v>18</v>
      </c>
      <c r="J76" s="11" t="n">
        <v>34</v>
      </c>
      <c r="K76" s="13" t="n">
        <v>93.9</v>
      </c>
      <c r="L76" s="2" t="s">
        <v>87</v>
      </c>
      <c r="M76" s="14" t="n">
        <v>7869</v>
      </c>
      <c r="N76" s="2" t="s">
        <v>73</v>
      </c>
      <c r="O76" s="14" t="n">
        <f aca="false">IFERROR(M76/I76,"")</f>
        <v>437.166666666667</v>
      </c>
    </row>
    <row r="77" customFormat="false" ht="15" hidden="false" customHeight="false" outlineLevel="0" collapsed="false">
      <c r="A77" s="2" t="s">
        <v>250</v>
      </c>
      <c r="B77" s="2" t="s">
        <v>111</v>
      </c>
      <c r="C77" s="2" t="s">
        <v>76</v>
      </c>
      <c r="D77" s="2" t="s">
        <v>127</v>
      </c>
      <c r="E77" s="2" t="s">
        <v>70</v>
      </c>
      <c r="F77" s="2" t="s">
        <v>251</v>
      </c>
      <c r="G77" s="11" t="n">
        <v>45.7</v>
      </c>
      <c r="H77" s="11" t="n">
        <v>29.4</v>
      </c>
      <c r="I77" s="12" t="n">
        <v>12</v>
      </c>
      <c r="J77" s="11" t="n">
        <v>163.4</v>
      </c>
      <c r="K77" s="13" t="n">
        <v>62.7</v>
      </c>
      <c r="L77" s="2" t="s">
        <v>104</v>
      </c>
      <c r="M77" s="14" t="n">
        <v>17533</v>
      </c>
      <c r="N77" s="2" t="s">
        <v>80</v>
      </c>
      <c r="O77" s="14" t="n">
        <f aca="false">IFERROR(M77/I77,"")</f>
        <v>1461.08333333333</v>
      </c>
    </row>
    <row r="78" customFormat="false" ht="15" hidden="false" customHeight="false" outlineLevel="0" collapsed="false">
      <c r="A78" s="2" t="s">
        <v>252</v>
      </c>
      <c r="B78" s="2" t="s">
        <v>106</v>
      </c>
      <c r="C78" s="2" t="s">
        <v>68</v>
      </c>
      <c r="D78" s="2" t="s">
        <v>77</v>
      </c>
      <c r="E78" s="2" t="s">
        <v>78</v>
      </c>
      <c r="F78" s="2" t="s">
        <v>253</v>
      </c>
      <c r="G78" s="11" t="n">
        <v>50.8</v>
      </c>
      <c r="H78" s="11" t="n">
        <v>16.5</v>
      </c>
      <c r="I78" s="12" t="n">
        <v>11</v>
      </c>
      <c r="J78" s="11" t="n">
        <v>79.8</v>
      </c>
      <c r="K78" s="13" t="n">
        <v>78.1</v>
      </c>
      <c r="L78" s="2" t="s">
        <v>72</v>
      </c>
      <c r="M78" s="14" t="n">
        <v>3086</v>
      </c>
      <c r="N78" s="2" t="s">
        <v>73</v>
      </c>
      <c r="O78" s="14" t="n">
        <f aca="false">IFERROR(M78/I78,"")</f>
        <v>280.545454545455</v>
      </c>
    </row>
    <row r="79" customFormat="false" ht="15" hidden="false" customHeight="false" outlineLevel="0" collapsed="false">
      <c r="A79" s="2" t="s">
        <v>254</v>
      </c>
      <c r="B79" s="2" t="s">
        <v>101</v>
      </c>
      <c r="C79" s="2" t="s">
        <v>102</v>
      </c>
      <c r="D79" s="2" t="s">
        <v>127</v>
      </c>
      <c r="E79" s="2" t="s">
        <v>116</v>
      </c>
      <c r="F79" s="2" t="s">
        <v>255</v>
      </c>
      <c r="G79" s="11" t="n">
        <v>33.1</v>
      </c>
      <c r="H79" s="11" t="n">
        <v>21.6</v>
      </c>
      <c r="I79" s="12" t="n">
        <v>8</v>
      </c>
      <c r="J79" s="11" t="n">
        <v>66.1</v>
      </c>
      <c r="K79" s="13" t="n">
        <v>88.5</v>
      </c>
      <c r="L79" s="2" t="s">
        <v>87</v>
      </c>
      <c r="M79" s="14" t="n">
        <v>9321</v>
      </c>
      <c r="N79" s="2" t="s">
        <v>80</v>
      </c>
      <c r="O79" s="14" t="n">
        <f aca="false">IFERROR(M79/I79,"")</f>
        <v>1165.125</v>
      </c>
    </row>
    <row r="80" customFormat="false" ht="15" hidden="false" customHeight="false" outlineLevel="0" collapsed="false">
      <c r="A80" s="2" t="s">
        <v>256</v>
      </c>
      <c r="B80" s="2" t="s">
        <v>106</v>
      </c>
      <c r="C80" s="2" t="s">
        <v>68</v>
      </c>
      <c r="D80" s="2" t="s">
        <v>84</v>
      </c>
      <c r="E80" s="2" t="s">
        <v>70</v>
      </c>
      <c r="F80" s="2" t="s">
        <v>257</v>
      </c>
      <c r="G80" s="11" t="n">
        <v>51</v>
      </c>
      <c r="H80" s="11" t="n">
        <v>21</v>
      </c>
      <c r="I80" s="12" t="n">
        <v>29</v>
      </c>
      <c r="J80" s="11" t="n">
        <v>45.2</v>
      </c>
      <c r="K80" s="13" t="n">
        <v>87.3</v>
      </c>
      <c r="L80" s="2" t="s">
        <v>104</v>
      </c>
      <c r="M80" s="14" t="n">
        <v>4180</v>
      </c>
      <c r="N80" s="2" t="s">
        <v>73</v>
      </c>
      <c r="O80" s="14" t="n">
        <f aca="false">IFERROR(M80/I80,"")</f>
        <v>144.137931034483</v>
      </c>
    </row>
    <row r="81" customFormat="false" ht="15" hidden="false" customHeight="false" outlineLevel="0" collapsed="false">
      <c r="A81" s="2" t="s">
        <v>258</v>
      </c>
      <c r="B81" s="2" t="s">
        <v>93</v>
      </c>
      <c r="C81" s="2" t="s">
        <v>83</v>
      </c>
      <c r="D81" s="2" t="s">
        <v>77</v>
      </c>
      <c r="E81" s="2" t="s">
        <v>107</v>
      </c>
      <c r="F81" s="2" t="s">
        <v>259</v>
      </c>
      <c r="G81" s="11" t="n">
        <v>9.9</v>
      </c>
      <c r="H81" s="11" t="n">
        <v>9.6</v>
      </c>
      <c r="I81" s="12" t="n">
        <v>10</v>
      </c>
      <c r="J81" s="11" t="n">
        <v>25</v>
      </c>
      <c r="K81" s="13" t="n">
        <v>49.3</v>
      </c>
      <c r="L81" s="2" t="s">
        <v>72</v>
      </c>
      <c r="M81" s="14" t="n">
        <v>687</v>
      </c>
      <c r="N81" s="2" t="s">
        <v>80</v>
      </c>
      <c r="O81" s="14" t="n">
        <f aca="false">IFERROR(M81/I81,"")</f>
        <v>68.7</v>
      </c>
    </row>
    <row r="82" customFormat="false" ht="15" hidden="false" customHeight="false" outlineLevel="0" collapsed="false">
      <c r="A82" s="2" t="s">
        <v>260</v>
      </c>
      <c r="B82" s="2" t="s">
        <v>93</v>
      </c>
      <c r="C82" s="2" t="s">
        <v>83</v>
      </c>
      <c r="D82" s="2" t="s">
        <v>130</v>
      </c>
      <c r="E82" s="2" t="s">
        <v>85</v>
      </c>
      <c r="F82" s="2" t="s">
        <v>249</v>
      </c>
      <c r="G82" s="11" t="n">
        <v>10.6</v>
      </c>
      <c r="H82" s="11" t="n">
        <v>9.1</v>
      </c>
      <c r="I82" s="12" t="n">
        <v>48</v>
      </c>
      <c r="J82" s="11" t="n">
        <v>37.9</v>
      </c>
      <c r="K82" s="13" t="n">
        <v>55.6</v>
      </c>
      <c r="L82" s="2" t="s">
        <v>104</v>
      </c>
      <c r="M82" s="14" t="n">
        <v>306</v>
      </c>
      <c r="N82" s="2" t="s">
        <v>73</v>
      </c>
      <c r="O82" s="14" t="n">
        <f aca="false">IFERROR(M82/I82,"")</f>
        <v>6.375</v>
      </c>
    </row>
    <row r="83" customFormat="false" ht="15" hidden="false" customHeight="false" outlineLevel="0" collapsed="false">
      <c r="A83" s="2" t="s">
        <v>261</v>
      </c>
      <c r="B83" s="2" t="s">
        <v>75</v>
      </c>
      <c r="C83" s="2" t="s">
        <v>76</v>
      </c>
      <c r="D83" s="2" t="s">
        <v>77</v>
      </c>
      <c r="E83" s="2" t="s">
        <v>98</v>
      </c>
      <c r="F83" s="2" t="s">
        <v>262</v>
      </c>
      <c r="G83" s="11" t="n">
        <v>41.1</v>
      </c>
      <c r="H83" s="11" t="n">
        <v>13.4</v>
      </c>
      <c r="I83" s="12" t="n">
        <v>27</v>
      </c>
      <c r="J83" s="11" t="n">
        <v>136.4</v>
      </c>
      <c r="K83" s="13" t="n">
        <v>77.4</v>
      </c>
      <c r="L83" s="2" t="s">
        <v>87</v>
      </c>
      <c r="M83" s="14" t="n">
        <v>24877</v>
      </c>
      <c r="N83" s="2" t="s">
        <v>73</v>
      </c>
      <c r="O83" s="14" t="n">
        <f aca="false">IFERROR(M83/I83,"")</f>
        <v>921.37037037037</v>
      </c>
    </row>
    <row r="84" customFormat="false" ht="15" hidden="false" customHeight="false" outlineLevel="0" collapsed="false">
      <c r="A84" s="2" t="s">
        <v>263</v>
      </c>
      <c r="B84" s="2" t="s">
        <v>89</v>
      </c>
      <c r="C84" s="2" t="s">
        <v>83</v>
      </c>
      <c r="D84" s="2" t="s">
        <v>77</v>
      </c>
      <c r="E84" s="2" t="s">
        <v>116</v>
      </c>
      <c r="F84" s="2" t="s">
        <v>153</v>
      </c>
      <c r="G84" s="11" t="n">
        <v>11.9</v>
      </c>
      <c r="H84" s="11" t="n">
        <v>9.5</v>
      </c>
      <c r="I84" s="12" t="n">
        <v>18</v>
      </c>
      <c r="J84" s="11" t="n">
        <v>54.8</v>
      </c>
      <c r="K84" s="13" t="n">
        <v>58.8</v>
      </c>
      <c r="L84" s="2" t="s">
        <v>87</v>
      </c>
      <c r="M84" s="14" t="n">
        <v>400</v>
      </c>
      <c r="N84" s="2" t="s">
        <v>135</v>
      </c>
      <c r="O84" s="14" t="n">
        <f aca="false">IFERROR(M84/I84,"")</f>
        <v>22.2222222222222</v>
      </c>
    </row>
    <row r="85" customFormat="false" ht="15" hidden="false" customHeight="false" outlineLevel="0" collapsed="false">
      <c r="A85" s="2" t="s">
        <v>264</v>
      </c>
      <c r="B85" s="2" t="s">
        <v>165</v>
      </c>
      <c r="C85" s="2" t="s">
        <v>68</v>
      </c>
      <c r="D85" s="2" t="s">
        <v>77</v>
      </c>
      <c r="E85" s="2" t="s">
        <v>90</v>
      </c>
      <c r="F85" s="2" t="s">
        <v>265</v>
      </c>
      <c r="G85" s="11" t="n">
        <v>61.3</v>
      </c>
      <c r="H85" s="11" t="n">
        <v>17.6</v>
      </c>
      <c r="I85" s="12" t="n">
        <v>14</v>
      </c>
      <c r="J85" s="11" t="n">
        <v>195</v>
      </c>
      <c r="K85" s="13" t="n">
        <v>69.5</v>
      </c>
      <c r="L85" s="2" t="s">
        <v>104</v>
      </c>
      <c r="M85" s="14" t="n">
        <v>4709</v>
      </c>
      <c r="N85" s="2" t="s">
        <v>73</v>
      </c>
      <c r="O85" s="14" t="n">
        <f aca="false">IFERROR(M85/I85,"")</f>
        <v>336.357142857143</v>
      </c>
    </row>
    <row r="86" customFormat="false" ht="15" hidden="false" customHeight="false" outlineLevel="0" collapsed="false">
      <c r="A86" s="2" t="s">
        <v>266</v>
      </c>
      <c r="B86" s="2" t="s">
        <v>106</v>
      </c>
      <c r="C86" s="2" t="s">
        <v>68</v>
      </c>
      <c r="D86" s="2" t="s">
        <v>77</v>
      </c>
      <c r="E86" s="2" t="s">
        <v>78</v>
      </c>
      <c r="F86" s="2" t="s">
        <v>157</v>
      </c>
      <c r="G86" s="11" t="n">
        <v>64</v>
      </c>
      <c r="H86" s="11" t="n">
        <v>18.2</v>
      </c>
      <c r="I86" s="12" t="n">
        <v>31</v>
      </c>
      <c r="J86" s="11" t="n">
        <v>170.8</v>
      </c>
      <c r="K86" s="13" t="n">
        <v>67.4</v>
      </c>
      <c r="L86" s="2" t="s">
        <v>109</v>
      </c>
      <c r="M86" s="14" t="n">
        <v>3632</v>
      </c>
      <c r="N86" s="2" t="s">
        <v>138</v>
      </c>
      <c r="O86" s="14" t="n">
        <f aca="false">IFERROR(M86/I86,"")</f>
        <v>117.161290322581</v>
      </c>
    </row>
    <row r="87" customFormat="false" ht="15" hidden="false" customHeight="false" outlineLevel="0" collapsed="false">
      <c r="A87" s="2" t="s">
        <v>267</v>
      </c>
      <c r="B87" s="2" t="s">
        <v>75</v>
      </c>
      <c r="C87" s="2" t="s">
        <v>76</v>
      </c>
      <c r="D87" s="2" t="s">
        <v>77</v>
      </c>
      <c r="E87" s="2" t="s">
        <v>90</v>
      </c>
      <c r="F87" s="2" t="s">
        <v>253</v>
      </c>
      <c r="G87" s="11" t="n">
        <v>32.8</v>
      </c>
      <c r="H87" s="11" t="n">
        <v>19.2</v>
      </c>
      <c r="I87" s="12" t="n">
        <v>13</v>
      </c>
      <c r="J87" s="11" t="n">
        <v>57.4</v>
      </c>
      <c r="K87" s="13" t="n">
        <v>53.1</v>
      </c>
      <c r="L87" s="2" t="s">
        <v>109</v>
      </c>
      <c r="M87" s="14" t="n">
        <v>22551</v>
      </c>
      <c r="N87" s="2" t="s">
        <v>73</v>
      </c>
      <c r="O87" s="14" t="n">
        <f aca="false">IFERROR(M87/I87,"")</f>
        <v>1734.69230769231</v>
      </c>
    </row>
    <row r="88" customFormat="false" ht="15" hidden="false" customHeight="false" outlineLevel="0" collapsed="false">
      <c r="A88" s="2" t="s">
        <v>268</v>
      </c>
      <c r="B88" s="2" t="s">
        <v>93</v>
      </c>
      <c r="C88" s="2" t="s">
        <v>83</v>
      </c>
      <c r="D88" s="2" t="s">
        <v>84</v>
      </c>
      <c r="E88" s="2" t="s">
        <v>70</v>
      </c>
      <c r="F88" s="2" t="s">
        <v>269</v>
      </c>
      <c r="G88" s="11" t="n">
        <v>11</v>
      </c>
      <c r="H88" s="11" t="n">
        <v>10.8</v>
      </c>
      <c r="I88" s="12" t="n">
        <v>11</v>
      </c>
      <c r="J88" s="11" t="n">
        <v>31.5</v>
      </c>
      <c r="K88" s="13" t="n">
        <v>50.6</v>
      </c>
      <c r="L88" s="2" t="s">
        <v>109</v>
      </c>
      <c r="M88" s="14" t="n">
        <v>767</v>
      </c>
      <c r="N88" s="2" t="s">
        <v>80</v>
      </c>
      <c r="O88" s="14" t="n">
        <f aca="false">IFERROR(M88/I88,"")</f>
        <v>69.7272727272727</v>
      </c>
    </row>
    <row r="89" customFormat="false" ht="15" hidden="false" customHeight="false" outlineLevel="0" collapsed="false">
      <c r="A89" s="2" t="s">
        <v>270</v>
      </c>
      <c r="B89" s="2" t="s">
        <v>111</v>
      </c>
      <c r="C89" s="2" t="s">
        <v>76</v>
      </c>
      <c r="D89" s="2" t="s">
        <v>77</v>
      </c>
      <c r="E89" s="2" t="s">
        <v>70</v>
      </c>
      <c r="F89" s="2" t="s">
        <v>271</v>
      </c>
      <c r="G89" s="11" t="n">
        <v>41</v>
      </c>
      <c r="H89" s="11" t="n">
        <v>21.9</v>
      </c>
      <c r="I89" s="12" t="n">
        <v>25</v>
      </c>
      <c r="J89" s="11" t="n">
        <v>63.2</v>
      </c>
      <c r="K89" s="13" t="n">
        <v>55</v>
      </c>
      <c r="L89" s="2" t="s">
        <v>72</v>
      </c>
      <c r="M89" s="14" t="n">
        <v>20847</v>
      </c>
      <c r="N89" s="2" t="s">
        <v>80</v>
      </c>
      <c r="O89" s="14" t="n">
        <f aca="false">IFERROR(M89/I89,"")</f>
        <v>833.88</v>
      </c>
    </row>
    <row r="90" customFormat="false" ht="15" hidden="false" customHeight="false" outlineLevel="0" collapsed="false">
      <c r="A90" s="2" t="s">
        <v>272</v>
      </c>
      <c r="B90" s="2" t="s">
        <v>75</v>
      </c>
      <c r="C90" s="2" t="s">
        <v>76</v>
      </c>
      <c r="D90" s="2" t="s">
        <v>127</v>
      </c>
      <c r="E90" s="2" t="s">
        <v>78</v>
      </c>
      <c r="F90" s="2" t="s">
        <v>273</v>
      </c>
      <c r="G90" s="11" t="n">
        <v>53.4</v>
      </c>
      <c r="H90" s="11" t="n">
        <v>21.1</v>
      </c>
      <c r="I90" s="12" t="n">
        <v>24</v>
      </c>
      <c r="J90" s="11" t="n">
        <v>156.3</v>
      </c>
      <c r="K90" s="13" t="n">
        <v>71.9</v>
      </c>
      <c r="L90" s="2" t="s">
        <v>72</v>
      </c>
      <c r="M90" s="14" t="n">
        <v>20949</v>
      </c>
      <c r="N90" s="2" t="s">
        <v>138</v>
      </c>
      <c r="O90" s="14" t="n">
        <f aca="false">IFERROR(M90/I90,"")</f>
        <v>872.875</v>
      </c>
    </row>
    <row r="91" customFormat="false" ht="15" hidden="false" customHeight="false" outlineLevel="0" collapsed="false">
      <c r="A91" s="2" t="s">
        <v>274</v>
      </c>
      <c r="B91" s="2" t="s">
        <v>101</v>
      </c>
      <c r="C91" s="2" t="s">
        <v>102</v>
      </c>
      <c r="D91" s="2" t="s">
        <v>127</v>
      </c>
      <c r="E91" s="2" t="s">
        <v>78</v>
      </c>
      <c r="F91" s="2" t="s">
        <v>206</v>
      </c>
      <c r="G91" s="11" t="n">
        <v>32</v>
      </c>
      <c r="H91" s="11" t="n">
        <v>18.7</v>
      </c>
      <c r="I91" s="12" t="n">
        <v>14</v>
      </c>
      <c r="J91" s="11" t="n">
        <v>122.4</v>
      </c>
      <c r="K91" s="13" t="n">
        <v>86.8</v>
      </c>
      <c r="L91" s="2" t="s">
        <v>104</v>
      </c>
      <c r="M91" s="14" t="n">
        <v>7904</v>
      </c>
      <c r="N91" s="2" t="s">
        <v>73</v>
      </c>
      <c r="O91" s="14" t="n">
        <f aca="false">IFERROR(M91/I91,"")</f>
        <v>564.571428571429</v>
      </c>
    </row>
    <row r="92" customFormat="false" ht="15" hidden="false" customHeight="false" outlineLevel="0" collapsed="false">
      <c r="A92" s="2" t="s">
        <v>275</v>
      </c>
      <c r="B92" s="2" t="s">
        <v>119</v>
      </c>
      <c r="C92" s="2" t="s">
        <v>102</v>
      </c>
      <c r="D92" s="2" t="s">
        <v>127</v>
      </c>
      <c r="E92" s="2" t="s">
        <v>107</v>
      </c>
      <c r="F92" s="2" t="s">
        <v>112</v>
      </c>
      <c r="G92" s="11" t="n">
        <v>38.5</v>
      </c>
      <c r="H92" s="11" t="n">
        <v>24.1</v>
      </c>
      <c r="I92" s="12" t="n">
        <v>17</v>
      </c>
      <c r="J92" s="11" t="n">
        <v>133.1</v>
      </c>
      <c r="K92" s="13" t="n">
        <v>88.1</v>
      </c>
      <c r="L92" s="2" t="s">
        <v>104</v>
      </c>
      <c r="M92" s="14" t="n">
        <v>8686</v>
      </c>
      <c r="N92" s="2" t="s">
        <v>73</v>
      </c>
      <c r="O92" s="14" t="n">
        <f aca="false">IFERROR(M92/I92,"")</f>
        <v>510.941176470588</v>
      </c>
    </row>
    <row r="93" customFormat="false" ht="15" hidden="false" customHeight="false" outlineLevel="0" collapsed="false">
      <c r="A93" s="2" t="s">
        <v>276</v>
      </c>
      <c r="B93" s="2" t="s">
        <v>67</v>
      </c>
      <c r="C93" s="2" t="s">
        <v>68</v>
      </c>
      <c r="D93" s="2" t="s">
        <v>77</v>
      </c>
      <c r="E93" s="2" t="s">
        <v>78</v>
      </c>
      <c r="F93" s="2" t="s">
        <v>277</v>
      </c>
      <c r="G93" s="11" t="n">
        <v>42.2</v>
      </c>
      <c r="H93" s="11" t="n">
        <v>14.8</v>
      </c>
      <c r="I93" s="12" t="n">
        <v>3</v>
      </c>
      <c r="J93" s="11" t="n">
        <v>26.6</v>
      </c>
      <c r="K93" s="13" t="n">
        <v>76.2</v>
      </c>
      <c r="L93" s="2" t="s">
        <v>72</v>
      </c>
      <c r="M93" s="14" t="n">
        <v>3548</v>
      </c>
      <c r="N93" s="2" t="s">
        <v>135</v>
      </c>
      <c r="O93" s="14" t="n">
        <f aca="false">IFERROR(M93/I93,"")</f>
        <v>1182.66666666667</v>
      </c>
    </row>
    <row r="94" customFormat="false" ht="15" hidden="false" customHeight="false" outlineLevel="0" collapsed="false">
      <c r="A94" s="2" t="s">
        <v>278</v>
      </c>
      <c r="B94" s="2" t="s">
        <v>119</v>
      </c>
      <c r="C94" s="2" t="s">
        <v>102</v>
      </c>
      <c r="D94" s="2" t="s">
        <v>77</v>
      </c>
      <c r="E94" s="2" t="s">
        <v>107</v>
      </c>
      <c r="F94" s="2" t="s">
        <v>279</v>
      </c>
      <c r="G94" s="11" t="n">
        <v>31.4</v>
      </c>
      <c r="H94" s="11" t="n">
        <v>30.4</v>
      </c>
      <c r="I94" s="12" t="n">
        <v>20</v>
      </c>
      <c r="J94" s="11" t="n">
        <v>38.9</v>
      </c>
      <c r="K94" s="13" t="n">
        <v>85.2</v>
      </c>
      <c r="L94" s="2" t="s">
        <v>104</v>
      </c>
      <c r="M94" s="14" t="n">
        <v>8838</v>
      </c>
      <c r="N94" s="2" t="s">
        <v>135</v>
      </c>
      <c r="O94" s="14" t="n">
        <f aca="false">IFERROR(M94/I94,"")</f>
        <v>441.9</v>
      </c>
    </row>
    <row r="95" customFormat="false" ht="15" hidden="false" customHeight="false" outlineLevel="0" collapsed="false">
      <c r="A95" s="2" t="s">
        <v>280</v>
      </c>
      <c r="B95" s="2" t="s">
        <v>133</v>
      </c>
      <c r="C95" s="2" t="s">
        <v>97</v>
      </c>
      <c r="D95" s="2" t="s">
        <v>77</v>
      </c>
      <c r="E95" s="2" t="s">
        <v>70</v>
      </c>
      <c r="F95" s="2" t="s">
        <v>201</v>
      </c>
      <c r="G95" s="11" t="n">
        <v>29.8</v>
      </c>
      <c r="H95" s="11" t="n">
        <v>36.2</v>
      </c>
      <c r="I95" s="12" t="n">
        <v>11</v>
      </c>
      <c r="J95" s="11" t="n">
        <v>53.1</v>
      </c>
      <c r="K95" s="13" t="n">
        <v>52.2</v>
      </c>
      <c r="L95" s="2" t="s">
        <v>72</v>
      </c>
      <c r="M95" s="14" t="n">
        <v>5590</v>
      </c>
      <c r="N95" s="2" t="s">
        <v>73</v>
      </c>
      <c r="O95" s="14" t="n">
        <f aca="false">IFERROR(M95/I95,"")</f>
        <v>508.181818181818</v>
      </c>
    </row>
    <row r="96" customFormat="false" ht="15" hidden="false" customHeight="false" outlineLevel="0" collapsed="false">
      <c r="A96" s="2" t="s">
        <v>281</v>
      </c>
      <c r="B96" s="2" t="s">
        <v>111</v>
      </c>
      <c r="C96" s="2" t="s">
        <v>76</v>
      </c>
      <c r="D96" s="2" t="s">
        <v>69</v>
      </c>
      <c r="E96" s="2" t="s">
        <v>90</v>
      </c>
      <c r="F96" s="2" t="s">
        <v>282</v>
      </c>
      <c r="G96" s="11" t="n">
        <v>40.5</v>
      </c>
      <c r="H96" s="11" t="n">
        <v>19.8</v>
      </c>
      <c r="I96" s="12" t="n">
        <v>6</v>
      </c>
      <c r="J96" s="11" t="n">
        <v>16.5</v>
      </c>
      <c r="K96" s="13" t="n">
        <v>73.1</v>
      </c>
      <c r="L96" s="2" t="s">
        <v>72</v>
      </c>
      <c r="M96" s="14" t="n">
        <v>21595</v>
      </c>
      <c r="N96" s="2" t="s">
        <v>73</v>
      </c>
      <c r="O96" s="14" t="n">
        <f aca="false">IFERROR(M96/I96,"")</f>
        <v>3599.16666666667</v>
      </c>
    </row>
    <row r="97" customFormat="false" ht="15" hidden="false" customHeight="false" outlineLevel="0" collapsed="false">
      <c r="A97" s="2" t="s">
        <v>283</v>
      </c>
      <c r="B97" s="2" t="s">
        <v>111</v>
      </c>
      <c r="C97" s="2" t="s">
        <v>76</v>
      </c>
      <c r="D97" s="2" t="s">
        <v>84</v>
      </c>
      <c r="E97" s="2" t="s">
        <v>70</v>
      </c>
      <c r="F97" s="2" t="s">
        <v>284</v>
      </c>
      <c r="G97" s="11" t="n">
        <v>44.8</v>
      </c>
      <c r="H97" s="11" t="n">
        <v>21.2</v>
      </c>
      <c r="I97" s="12" t="n">
        <v>9</v>
      </c>
      <c r="J97" s="11" t="n">
        <v>143.7</v>
      </c>
      <c r="K97" s="13" t="n">
        <v>70.6</v>
      </c>
      <c r="L97" s="2" t="s">
        <v>87</v>
      </c>
      <c r="M97" s="14" t="n">
        <v>15641</v>
      </c>
      <c r="N97" s="2" t="s">
        <v>80</v>
      </c>
      <c r="O97" s="14" t="n">
        <f aca="false">IFERROR(M97/I97,"")</f>
        <v>1737.88888888889</v>
      </c>
    </row>
    <row r="98" customFormat="false" ht="15" hidden="false" customHeight="false" outlineLevel="0" collapsed="false">
      <c r="A98" s="2" t="s">
        <v>285</v>
      </c>
      <c r="B98" s="2" t="s">
        <v>82</v>
      </c>
      <c r="C98" s="2" t="s">
        <v>83</v>
      </c>
      <c r="D98" s="2" t="s">
        <v>122</v>
      </c>
      <c r="E98" s="2" t="s">
        <v>70</v>
      </c>
      <c r="F98" s="2" t="s">
        <v>286</v>
      </c>
      <c r="G98" s="11" t="n">
        <v>14.2</v>
      </c>
      <c r="H98" s="11" t="n">
        <v>11</v>
      </c>
      <c r="I98" s="12" t="n">
        <v>31</v>
      </c>
      <c r="J98" s="11" t="n">
        <v>135.5</v>
      </c>
      <c r="K98" s="13" t="n">
        <v>58.3</v>
      </c>
      <c r="L98" s="2" t="s">
        <v>104</v>
      </c>
      <c r="M98" s="14" t="n">
        <v>969</v>
      </c>
      <c r="N98" s="2" t="s">
        <v>80</v>
      </c>
      <c r="O98" s="14" t="n">
        <f aca="false">IFERROR(M98/I98,"")</f>
        <v>31.258064516129</v>
      </c>
    </row>
    <row r="99" customFormat="false" ht="15" hidden="false" customHeight="false" outlineLevel="0" collapsed="false">
      <c r="A99" s="2" t="s">
        <v>287</v>
      </c>
      <c r="B99" s="2" t="s">
        <v>101</v>
      </c>
      <c r="C99" s="2" t="s">
        <v>102</v>
      </c>
      <c r="D99" s="2" t="s">
        <v>77</v>
      </c>
      <c r="E99" s="2" t="s">
        <v>78</v>
      </c>
      <c r="F99" s="2" t="s">
        <v>99</v>
      </c>
      <c r="G99" s="11" t="n">
        <v>35.8</v>
      </c>
      <c r="H99" s="11" t="n">
        <v>25.4</v>
      </c>
      <c r="I99" s="12" t="n">
        <v>15</v>
      </c>
      <c r="J99" s="11" t="n">
        <v>79.8</v>
      </c>
      <c r="K99" s="13" t="n">
        <v>74</v>
      </c>
      <c r="L99" s="2" t="s">
        <v>109</v>
      </c>
      <c r="M99" s="14" t="n">
        <v>9708</v>
      </c>
      <c r="N99" s="2" t="s">
        <v>73</v>
      </c>
      <c r="O99" s="14" t="n">
        <f aca="false">IFERROR(M99/I99,"")</f>
        <v>647.2</v>
      </c>
    </row>
    <row r="100" customFormat="false" ht="15" hidden="false" customHeight="false" outlineLevel="0" collapsed="false">
      <c r="A100" s="2" t="s">
        <v>288</v>
      </c>
      <c r="B100" s="2" t="s">
        <v>93</v>
      </c>
      <c r="C100" s="2" t="s">
        <v>83</v>
      </c>
      <c r="D100" s="2" t="s">
        <v>84</v>
      </c>
      <c r="E100" s="2" t="s">
        <v>78</v>
      </c>
      <c r="F100" s="2" t="s">
        <v>161</v>
      </c>
      <c r="G100" s="11" t="n">
        <v>13.9</v>
      </c>
      <c r="H100" s="11" t="n">
        <v>8.9</v>
      </c>
      <c r="I100" s="12" t="n">
        <v>18</v>
      </c>
      <c r="J100" s="11" t="n">
        <v>35.5</v>
      </c>
      <c r="K100" s="13" t="n">
        <v>43.2</v>
      </c>
      <c r="L100" s="2" t="s">
        <v>109</v>
      </c>
      <c r="M100" s="14" t="n">
        <v>758</v>
      </c>
      <c r="N100" s="2" t="s">
        <v>80</v>
      </c>
      <c r="O100" s="14" t="n">
        <f aca="false">IFERROR(M100/I100,"")</f>
        <v>42.1111111111111</v>
      </c>
    </row>
    <row r="101" customFormat="false" ht="15" hidden="false" customHeight="false" outlineLevel="0" collapsed="false">
      <c r="A101" s="2" t="s">
        <v>289</v>
      </c>
      <c r="B101" s="2" t="s">
        <v>75</v>
      </c>
      <c r="C101" s="2" t="s">
        <v>76</v>
      </c>
      <c r="D101" s="2" t="s">
        <v>77</v>
      </c>
      <c r="E101" s="2" t="s">
        <v>107</v>
      </c>
      <c r="F101" s="2" t="s">
        <v>290</v>
      </c>
      <c r="G101" s="11" t="n">
        <v>49.9</v>
      </c>
      <c r="H101" s="11" t="n">
        <v>28.4</v>
      </c>
      <c r="I101" s="12" t="n">
        <v>18</v>
      </c>
      <c r="J101" s="11" t="n">
        <v>206.8</v>
      </c>
      <c r="K101" s="13" t="n">
        <v>68</v>
      </c>
      <c r="L101" s="2" t="s">
        <v>72</v>
      </c>
      <c r="M101" s="14" t="n">
        <v>23852</v>
      </c>
      <c r="N101" s="2" t="s">
        <v>135</v>
      </c>
      <c r="O101" s="14" t="n">
        <f aca="false">IFERROR(M101/I101,"")</f>
        <v>1325.11111111111</v>
      </c>
    </row>
    <row r="102" customFormat="false" ht="15" hidden="false" customHeight="false" outlineLevel="0" collapsed="false">
      <c r="A102" s="2" t="s">
        <v>291</v>
      </c>
      <c r="B102" s="2" t="s">
        <v>133</v>
      </c>
      <c r="C102" s="2" t="s">
        <v>97</v>
      </c>
      <c r="D102" s="2" t="s">
        <v>127</v>
      </c>
      <c r="E102" s="2" t="s">
        <v>78</v>
      </c>
      <c r="F102" s="2" t="s">
        <v>292</v>
      </c>
      <c r="G102" s="11" t="n">
        <v>27.7</v>
      </c>
      <c r="H102" s="11" t="n">
        <v>36.9</v>
      </c>
      <c r="I102" s="12" t="n">
        <v>15</v>
      </c>
      <c r="J102" s="11" t="n">
        <v>111</v>
      </c>
      <c r="K102" s="13" t="n">
        <v>50.8</v>
      </c>
      <c r="L102" s="2" t="s">
        <v>109</v>
      </c>
      <c r="M102" s="14" t="n">
        <v>15675</v>
      </c>
      <c r="N102" s="2" t="s">
        <v>73</v>
      </c>
      <c r="O102" s="14" t="n">
        <f aca="false">IFERROR(M102/I102,"")</f>
        <v>1045</v>
      </c>
    </row>
    <row r="103" customFormat="false" ht="15" hidden="false" customHeight="false" outlineLevel="0" collapsed="false">
      <c r="A103" s="2" t="s">
        <v>293</v>
      </c>
      <c r="B103" s="2" t="s">
        <v>165</v>
      </c>
      <c r="C103" s="2" t="s">
        <v>68</v>
      </c>
      <c r="D103" s="2" t="s">
        <v>130</v>
      </c>
      <c r="E103" s="2" t="s">
        <v>78</v>
      </c>
      <c r="F103" s="2" t="s">
        <v>294</v>
      </c>
      <c r="G103" s="11" t="n">
        <v>61.4</v>
      </c>
      <c r="H103" s="11" t="n">
        <v>20.5</v>
      </c>
      <c r="I103" s="12" t="n">
        <v>7</v>
      </c>
      <c r="J103" s="11" t="n">
        <v>17.6</v>
      </c>
      <c r="K103" s="13" t="n">
        <v>68.3</v>
      </c>
      <c r="L103" s="2" t="s">
        <v>72</v>
      </c>
      <c r="M103" s="14" t="n">
        <v>2929</v>
      </c>
      <c r="N103" s="2" t="s">
        <v>73</v>
      </c>
      <c r="O103" s="14" t="n">
        <f aca="false">IFERROR(M103/I103,"")</f>
        <v>418.428571428571</v>
      </c>
    </row>
    <row r="104" customFormat="false" ht="15" hidden="false" customHeight="false" outlineLevel="0" collapsed="false">
      <c r="A104" s="2" t="s">
        <v>295</v>
      </c>
      <c r="B104" s="2" t="s">
        <v>111</v>
      </c>
      <c r="C104" s="2" t="s">
        <v>76</v>
      </c>
      <c r="D104" s="2" t="s">
        <v>77</v>
      </c>
      <c r="E104" s="2" t="s">
        <v>107</v>
      </c>
      <c r="F104" s="2" t="s">
        <v>296</v>
      </c>
      <c r="G104" s="11" t="n">
        <v>40.3</v>
      </c>
      <c r="H104" s="11" t="n">
        <v>20.6</v>
      </c>
      <c r="I104" s="12" t="n">
        <v>15</v>
      </c>
      <c r="J104" s="11" t="n">
        <v>134.6</v>
      </c>
      <c r="K104" s="13" t="n">
        <v>54.7</v>
      </c>
      <c r="L104" s="2" t="s">
        <v>72</v>
      </c>
      <c r="M104" s="14" t="n">
        <v>25097</v>
      </c>
      <c r="N104" s="2" t="s">
        <v>73</v>
      </c>
      <c r="O104" s="14" t="n">
        <f aca="false">IFERROR(M104/I104,"")</f>
        <v>1673.13333333333</v>
      </c>
    </row>
    <row r="105" customFormat="false" ht="15" hidden="false" customHeight="false" outlineLevel="0" collapsed="false">
      <c r="A105" s="2" t="s">
        <v>297</v>
      </c>
      <c r="B105" s="2" t="s">
        <v>89</v>
      </c>
      <c r="C105" s="2" t="s">
        <v>83</v>
      </c>
      <c r="D105" s="2" t="s">
        <v>77</v>
      </c>
      <c r="E105" s="2" t="s">
        <v>78</v>
      </c>
      <c r="F105" s="2" t="s">
        <v>298</v>
      </c>
      <c r="G105" s="11" t="n">
        <v>14.1</v>
      </c>
      <c r="H105" s="11" t="n">
        <v>8.4</v>
      </c>
      <c r="I105" s="12" t="n">
        <v>22</v>
      </c>
      <c r="J105" s="11" t="n">
        <v>9.5</v>
      </c>
      <c r="K105" s="13" t="n">
        <v>47.5</v>
      </c>
      <c r="L105" s="2" t="s">
        <v>72</v>
      </c>
      <c r="M105" s="14" t="n">
        <v>750</v>
      </c>
      <c r="N105" s="2" t="s">
        <v>80</v>
      </c>
      <c r="O105" s="14" t="n">
        <f aca="false">IFERROR(M105/I105,"")</f>
        <v>34.0909090909091</v>
      </c>
    </row>
    <row r="106" customFormat="false" ht="15" hidden="false" customHeight="false" outlineLevel="0" collapsed="false">
      <c r="A106" s="2" t="s">
        <v>299</v>
      </c>
      <c r="B106" s="2" t="s">
        <v>133</v>
      </c>
      <c r="C106" s="2" t="s">
        <v>97</v>
      </c>
      <c r="D106" s="2" t="s">
        <v>77</v>
      </c>
      <c r="E106" s="2" t="s">
        <v>78</v>
      </c>
      <c r="F106" s="2" t="s">
        <v>300</v>
      </c>
      <c r="G106" s="11" t="n">
        <v>23.7</v>
      </c>
      <c r="H106" s="11" t="n">
        <v>39.5</v>
      </c>
      <c r="I106" s="12" t="n">
        <v>31</v>
      </c>
      <c r="J106" s="11" t="n">
        <v>74.5</v>
      </c>
      <c r="K106" s="13" t="n">
        <v>62</v>
      </c>
      <c r="L106" s="2" t="s">
        <v>72</v>
      </c>
      <c r="M106" s="14" t="n">
        <v>14439</v>
      </c>
      <c r="N106" s="2" t="s">
        <v>80</v>
      </c>
      <c r="O106" s="14" t="n">
        <f aca="false">IFERROR(M106/I106,"")</f>
        <v>465.774193548387</v>
      </c>
    </row>
    <row r="107" customFormat="false" ht="15" hidden="false" customHeight="false" outlineLevel="0" collapsed="false">
      <c r="A107" s="2" t="s">
        <v>301</v>
      </c>
      <c r="B107" s="2" t="s">
        <v>67</v>
      </c>
      <c r="C107" s="2" t="s">
        <v>68</v>
      </c>
      <c r="D107" s="2" t="s">
        <v>127</v>
      </c>
      <c r="E107" s="2" t="s">
        <v>98</v>
      </c>
      <c r="F107" s="2" t="s">
        <v>302</v>
      </c>
      <c r="G107" s="11" t="n">
        <v>38.6</v>
      </c>
      <c r="H107" s="11" t="n">
        <v>17.8</v>
      </c>
      <c r="I107" s="12" t="n">
        <v>4</v>
      </c>
      <c r="J107" s="11" t="n">
        <v>34.1</v>
      </c>
      <c r="K107" s="13" t="n">
        <v>97.5</v>
      </c>
      <c r="L107" s="2" t="s">
        <v>87</v>
      </c>
      <c r="M107" s="14" t="n">
        <v>3984</v>
      </c>
      <c r="N107" s="2" t="s">
        <v>73</v>
      </c>
      <c r="O107" s="14" t="n">
        <f aca="false">IFERROR(M107/I107,"")</f>
        <v>996</v>
      </c>
    </row>
    <row r="108" customFormat="false" ht="15" hidden="false" customHeight="false" outlineLevel="0" collapsed="false">
      <c r="A108" s="2" t="s">
        <v>303</v>
      </c>
      <c r="B108" s="2" t="s">
        <v>75</v>
      </c>
      <c r="C108" s="2" t="s">
        <v>76</v>
      </c>
      <c r="D108" s="2" t="s">
        <v>84</v>
      </c>
      <c r="E108" s="2" t="s">
        <v>107</v>
      </c>
      <c r="F108" s="2" t="s">
        <v>304</v>
      </c>
      <c r="G108" s="11" t="n">
        <v>39.3</v>
      </c>
      <c r="H108" s="11" t="n">
        <v>23.1</v>
      </c>
      <c r="I108" s="12" t="n">
        <v>5</v>
      </c>
      <c r="J108" s="11" t="n">
        <v>35.7</v>
      </c>
      <c r="K108" s="13" t="n">
        <v>61.2</v>
      </c>
      <c r="L108" s="2" t="s">
        <v>72</v>
      </c>
      <c r="M108" s="14" t="n">
        <v>26193</v>
      </c>
      <c r="N108" s="2" t="s">
        <v>73</v>
      </c>
      <c r="O108" s="14" t="n">
        <f aca="false">IFERROR(M108/I108,"")</f>
        <v>5238.6</v>
      </c>
    </row>
    <row r="109" customFormat="false" ht="15" hidden="false" customHeight="false" outlineLevel="0" collapsed="false">
      <c r="A109" s="2" t="s">
        <v>305</v>
      </c>
      <c r="B109" s="2" t="s">
        <v>96</v>
      </c>
      <c r="C109" s="2" t="s">
        <v>97</v>
      </c>
      <c r="D109" s="2" t="s">
        <v>69</v>
      </c>
      <c r="E109" s="2" t="s">
        <v>107</v>
      </c>
      <c r="F109" s="2" t="s">
        <v>306</v>
      </c>
      <c r="G109" s="11" t="n">
        <v>28.3</v>
      </c>
      <c r="H109" s="11" t="n">
        <v>34.5</v>
      </c>
      <c r="I109" s="12" t="n">
        <v>29</v>
      </c>
      <c r="J109" s="11" t="n">
        <v>161.5</v>
      </c>
      <c r="K109" s="13" t="n">
        <v>55.4</v>
      </c>
      <c r="L109" s="2" t="s">
        <v>72</v>
      </c>
      <c r="M109" s="14" t="n">
        <v>14026</v>
      </c>
      <c r="N109" s="2" t="s">
        <v>80</v>
      </c>
      <c r="O109" s="14" t="n">
        <f aca="false">IFERROR(M109/I109,"")</f>
        <v>483.655172413793</v>
      </c>
    </row>
    <row r="110" customFormat="false" ht="15" hidden="false" customHeight="false" outlineLevel="0" collapsed="false">
      <c r="A110" s="2" t="s">
        <v>307</v>
      </c>
      <c r="B110" s="2" t="s">
        <v>111</v>
      </c>
      <c r="C110" s="2" t="s">
        <v>76</v>
      </c>
      <c r="D110" s="2" t="s">
        <v>77</v>
      </c>
      <c r="E110" s="2" t="s">
        <v>98</v>
      </c>
      <c r="F110" s="2" t="s">
        <v>114</v>
      </c>
      <c r="G110" s="11" t="n">
        <v>39</v>
      </c>
      <c r="H110" s="11" t="n">
        <v>21.9</v>
      </c>
      <c r="I110" s="12" t="n">
        <v>5</v>
      </c>
      <c r="J110" s="11" t="n">
        <v>13.6</v>
      </c>
      <c r="K110" s="13" t="n">
        <v>63.4</v>
      </c>
      <c r="L110" s="2" t="s">
        <v>104</v>
      </c>
      <c r="M110" s="14" t="n">
        <v>17546</v>
      </c>
      <c r="N110" s="2" t="s">
        <v>138</v>
      </c>
      <c r="O110" s="14" t="n">
        <f aca="false">IFERROR(M110/I110,"")</f>
        <v>3509.2</v>
      </c>
    </row>
    <row r="111" customFormat="false" ht="15" hidden="false" customHeight="false" outlineLevel="0" collapsed="false">
      <c r="A111" s="2" t="s">
        <v>308</v>
      </c>
      <c r="B111" s="2" t="s">
        <v>93</v>
      </c>
      <c r="C111" s="2" t="s">
        <v>83</v>
      </c>
      <c r="D111" s="2" t="s">
        <v>77</v>
      </c>
      <c r="E111" s="2" t="s">
        <v>98</v>
      </c>
      <c r="F111" s="2" t="s">
        <v>309</v>
      </c>
      <c r="G111" s="11" t="n">
        <v>15</v>
      </c>
      <c r="H111" s="11" t="n">
        <v>8.8</v>
      </c>
      <c r="I111" s="12" t="n">
        <v>8</v>
      </c>
      <c r="J111" s="11" t="n">
        <v>11.9</v>
      </c>
      <c r="K111" s="13" t="n">
        <v>57.7</v>
      </c>
      <c r="L111" s="2" t="s">
        <v>104</v>
      </c>
      <c r="M111" s="14" t="n">
        <v>746</v>
      </c>
      <c r="N111" s="2" t="s">
        <v>80</v>
      </c>
      <c r="O111" s="14" t="n">
        <f aca="false">IFERROR(M111/I111,"")</f>
        <v>93.25</v>
      </c>
    </row>
    <row r="112" customFormat="false" ht="15" hidden="false" customHeight="false" outlineLevel="0" collapsed="false">
      <c r="A112" s="2" t="s">
        <v>310</v>
      </c>
      <c r="B112" s="2" t="s">
        <v>75</v>
      </c>
      <c r="C112" s="2" t="s">
        <v>76</v>
      </c>
      <c r="D112" s="2" t="s">
        <v>127</v>
      </c>
      <c r="E112" s="2" t="s">
        <v>90</v>
      </c>
      <c r="F112" s="2" t="s">
        <v>79</v>
      </c>
      <c r="G112" s="11" t="n">
        <v>37.1</v>
      </c>
      <c r="H112" s="11" t="n">
        <v>17.3</v>
      </c>
      <c r="I112" s="12" t="n">
        <v>35</v>
      </c>
      <c r="J112" s="11" t="n">
        <v>135.2</v>
      </c>
      <c r="K112" s="13" t="n">
        <v>70.6</v>
      </c>
      <c r="L112" s="2" t="s">
        <v>104</v>
      </c>
      <c r="M112" s="14" t="n">
        <v>28051</v>
      </c>
      <c r="N112" s="2" t="s">
        <v>73</v>
      </c>
      <c r="O112" s="14" t="n">
        <f aca="false">IFERROR(M112/I112,"")</f>
        <v>801.457142857143</v>
      </c>
    </row>
    <row r="113" customFormat="false" ht="15" hidden="false" customHeight="false" outlineLevel="0" collapsed="false">
      <c r="A113" s="2" t="s">
        <v>311</v>
      </c>
      <c r="B113" s="2" t="s">
        <v>82</v>
      </c>
      <c r="C113" s="2" t="s">
        <v>83</v>
      </c>
      <c r="D113" s="2" t="s">
        <v>127</v>
      </c>
      <c r="E113" s="2" t="s">
        <v>70</v>
      </c>
      <c r="F113" s="2" t="s">
        <v>312</v>
      </c>
      <c r="G113" s="11" t="n">
        <v>11.2</v>
      </c>
      <c r="H113" s="11" t="n">
        <v>10.8</v>
      </c>
      <c r="I113" s="12" t="n">
        <v>17</v>
      </c>
      <c r="J113" s="11" t="n">
        <v>33.2</v>
      </c>
      <c r="K113" s="13" t="n">
        <v>57.9</v>
      </c>
      <c r="L113" s="2" t="s">
        <v>87</v>
      </c>
      <c r="M113" s="14" t="n">
        <v>510</v>
      </c>
      <c r="N113" s="2" t="s">
        <v>135</v>
      </c>
      <c r="O113" s="14" t="n">
        <f aca="false">IFERROR(M113/I113,"")</f>
        <v>30</v>
      </c>
    </row>
    <row r="114" customFormat="false" ht="15" hidden="false" customHeight="false" outlineLevel="0" collapsed="false">
      <c r="A114" s="2" t="s">
        <v>313</v>
      </c>
      <c r="B114" s="2" t="s">
        <v>111</v>
      </c>
      <c r="C114" s="2" t="s">
        <v>76</v>
      </c>
      <c r="D114" s="2" t="s">
        <v>77</v>
      </c>
      <c r="E114" s="2" t="s">
        <v>78</v>
      </c>
      <c r="F114" s="2" t="s">
        <v>314</v>
      </c>
      <c r="G114" s="11" t="n">
        <v>33.1</v>
      </c>
      <c r="H114" s="11" t="n">
        <v>19.8</v>
      </c>
      <c r="I114" s="12" t="n">
        <v>7</v>
      </c>
      <c r="J114" s="11" t="n">
        <v>29.9</v>
      </c>
      <c r="K114" s="13" t="n">
        <v>55.5</v>
      </c>
      <c r="L114" s="2" t="s">
        <v>109</v>
      </c>
      <c r="M114" s="14" t="n">
        <v>26619</v>
      </c>
      <c r="N114" s="2" t="s">
        <v>73</v>
      </c>
      <c r="O114" s="14" t="n">
        <f aca="false">IFERROR(M114/I114,"")</f>
        <v>3802.71428571429</v>
      </c>
    </row>
    <row r="115" customFormat="false" ht="15" hidden="false" customHeight="false" outlineLevel="0" collapsed="false">
      <c r="A115" s="2" t="s">
        <v>315</v>
      </c>
      <c r="B115" s="2" t="s">
        <v>67</v>
      </c>
      <c r="C115" s="2" t="s">
        <v>68</v>
      </c>
      <c r="D115" s="2" t="s">
        <v>127</v>
      </c>
      <c r="E115" s="2" t="s">
        <v>85</v>
      </c>
      <c r="F115" s="2" t="s">
        <v>316</v>
      </c>
      <c r="G115" s="11" t="n">
        <v>59.7</v>
      </c>
      <c r="H115" s="11" t="n">
        <v>14.5</v>
      </c>
      <c r="I115" s="12" t="n">
        <v>16</v>
      </c>
      <c r="J115" s="11" t="n">
        <v>41.6</v>
      </c>
      <c r="K115" s="13" t="n">
        <v>85.5</v>
      </c>
      <c r="L115" s="2" t="s">
        <v>104</v>
      </c>
      <c r="M115" s="14" t="n">
        <v>3664</v>
      </c>
      <c r="N115" s="2" t="s">
        <v>73</v>
      </c>
      <c r="O115" s="14" t="n">
        <f aca="false">IFERROR(M115/I115,"")</f>
        <v>229</v>
      </c>
    </row>
    <row r="116" customFormat="false" ht="15" hidden="false" customHeight="false" outlineLevel="0" collapsed="false">
      <c r="A116" s="2" t="s">
        <v>317</v>
      </c>
      <c r="B116" s="2" t="s">
        <v>93</v>
      </c>
      <c r="C116" s="2" t="s">
        <v>83</v>
      </c>
      <c r="D116" s="2" t="s">
        <v>69</v>
      </c>
      <c r="E116" s="2" t="s">
        <v>90</v>
      </c>
      <c r="F116" s="2" t="s">
        <v>318</v>
      </c>
      <c r="G116" s="11" t="n">
        <v>12.3</v>
      </c>
      <c r="H116" s="11" t="n">
        <v>9.1</v>
      </c>
      <c r="I116" s="12" t="n">
        <v>15</v>
      </c>
      <c r="J116" s="11" t="n">
        <v>26.3</v>
      </c>
      <c r="K116" s="13" t="n">
        <v>58.6</v>
      </c>
      <c r="L116" s="2" t="s">
        <v>72</v>
      </c>
      <c r="M116" s="14" t="n">
        <v>722</v>
      </c>
      <c r="N116" s="2" t="s">
        <v>135</v>
      </c>
      <c r="O116" s="14" t="n">
        <f aca="false">IFERROR(M116/I116,"")</f>
        <v>48.1333333333333</v>
      </c>
    </row>
    <row r="117" customFormat="false" ht="15" hidden="false" customHeight="false" outlineLevel="0" collapsed="false">
      <c r="A117" s="2" t="s">
        <v>319</v>
      </c>
      <c r="B117" s="2" t="s">
        <v>106</v>
      </c>
      <c r="C117" s="2" t="s">
        <v>68</v>
      </c>
      <c r="D117" s="2" t="s">
        <v>77</v>
      </c>
      <c r="E117" s="2" t="s">
        <v>116</v>
      </c>
      <c r="F117" s="2" t="s">
        <v>320</v>
      </c>
      <c r="G117" s="11" t="n">
        <v>54.7</v>
      </c>
      <c r="H117" s="11" t="n">
        <v>16</v>
      </c>
      <c r="I117" s="12" t="n">
        <v>13</v>
      </c>
      <c r="J117" s="11" t="n">
        <v>50.6</v>
      </c>
      <c r="K117" s="13" t="n">
        <v>86.7</v>
      </c>
      <c r="L117" s="2" t="s">
        <v>72</v>
      </c>
      <c r="M117" s="14" t="n">
        <v>4034</v>
      </c>
      <c r="N117" s="2" t="s">
        <v>73</v>
      </c>
      <c r="O117" s="14" t="n">
        <f aca="false">IFERROR(M117/I117,"")</f>
        <v>310.307692307692</v>
      </c>
    </row>
    <row r="118" customFormat="false" ht="15" hidden="false" customHeight="false" outlineLevel="0" collapsed="false">
      <c r="A118" s="2" t="s">
        <v>321</v>
      </c>
      <c r="B118" s="2" t="s">
        <v>165</v>
      </c>
      <c r="C118" s="2" t="s">
        <v>68</v>
      </c>
      <c r="D118" s="2" t="s">
        <v>84</v>
      </c>
      <c r="E118" s="2" t="s">
        <v>78</v>
      </c>
      <c r="F118" s="2" t="s">
        <v>322</v>
      </c>
      <c r="G118" s="11" t="n">
        <v>43.7</v>
      </c>
      <c r="H118" s="11" t="n">
        <v>21.5</v>
      </c>
      <c r="I118" s="12" t="n">
        <v>9</v>
      </c>
      <c r="J118" s="11" t="n">
        <v>62.5</v>
      </c>
      <c r="K118" s="13" t="n">
        <v>83</v>
      </c>
      <c r="L118" s="2" t="s">
        <v>109</v>
      </c>
      <c r="M118" s="14" t="n">
        <v>2831</v>
      </c>
      <c r="N118" s="2" t="s">
        <v>73</v>
      </c>
      <c r="O118" s="14" t="n">
        <f aca="false">IFERROR(M118/I118,"")</f>
        <v>314.555555555556</v>
      </c>
    </row>
    <row r="119" customFormat="false" ht="15" hidden="false" customHeight="false" outlineLevel="0" collapsed="false">
      <c r="A119" s="2" t="s">
        <v>323</v>
      </c>
      <c r="B119" s="2" t="s">
        <v>93</v>
      </c>
      <c r="C119" s="2" t="s">
        <v>83</v>
      </c>
      <c r="D119" s="2" t="s">
        <v>77</v>
      </c>
      <c r="E119" s="2" t="s">
        <v>78</v>
      </c>
      <c r="F119" s="2" t="s">
        <v>324</v>
      </c>
      <c r="G119" s="11" t="n">
        <v>12.2</v>
      </c>
      <c r="H119" s="11" t="n">
        <v>9.9</v>
      </c>
      <c r="I119" s="12" t="n">
        <v>25</v>
      </c>
      <c r="J119" s="11" t="n">
        <v>18.3</v>
      </c>
      <c r="K119" s="13" t="n">
        <v>47</v>
      </c>
      <c r="L119" s="2" t="s">
        <v>72</v>
      </c>
      <c r="M119" s="14" t="n">
        <v>684</v>
      </c>
      <c r="N119" s="2" t="s">
        <v>138</v>
      </c>
      <c r="O119" s="14" t="n">
        <f aca="false">IFERROR(M119/I119,"")</f>
        <v>27.36</v>
      </c>
    </row>
    <row r="120" customFormat="false" ht="15" hidden="false" customHeight="false" outlineLevel="0" collapsed="false">
      <c r="A120" s="2" t="s">
        <v>325</v>
      </c>
      <c r="B120" s="2" t="s">
        <v>93</v>
      </c>
      <c r="C120" s="2" t="s">
        <v>83</v>
      </c>
      <c r="D120" s="2" t="s">
        <v>77</v>
      </c>
      <c r="E120" s="2" t="s">
        <v>85</v>
      </c>
      <c r="F120" s="2" t="s">
        <v>326</v>
      </c>
      <c r="G120" s="11" t="n">
        <v>13.8</v>
      </c>
      <c r="H120" s="11" t="n">
        <v>8.1</v>
      </c>
      <c r="I120" s="12" t="n">
        <v>17</v>
      </c>
      <c r="J120" s="11" t="n">
        <v>5.9</v>
      </c>
      <c r="K120" s="13" t="n">
        <v>45</v>
      </c>
      <c r="L120" s="2" t="s">
        <v>104</v>
      </c>
      <c r="M120" s="14" t="n">
        <v>770</v>
      </c>
      <c r="N120" s="2" t="s">
        <v>73</v>
      </c>
      <c r="O120" s="14" t="n">
        <f aca="false">IFERROR(M120/I120,"")</f>
        <v>45.2941176470588</v>
      </c>
    </row>
    <row r="121" customFormat="false" ht="15" hidden="false" customHeight="false" outlineLevel="0" collapsed="false">
      <c r="A121" s="2" t="s">
        <v>327</v>
      </c>
      <c r="B121" s="2" t="s">
        <v>93</v>
      </c>
      <c r="C121" s="2" t="s">
        <v>83</v>
      </c>
      <c r="D121" s="2" t="s">
        <v>127</v>
      </c>
      <c r="E121" s="2" t="s">
        <v>107</v>
      </c>
      <c r="F121" s="2" t="s">
        <v>328</v>
      </c>
      <c r="G121" s="11" t="n">
        <v>16</v>
      </c>
      <c r="H121" s="11" t="n">
        <v>7.7</v>
      </c>
      <c r="I121" s="12" t="n">
        <v>18</v>
      </c>
      <c r="J121" s="11" t="n">
        <v>44</v>
      </c>
      <c r="K121" s="13" t="n">
        <v>43.5</v>
      </c>
      <c r="L121" s="2" t="s">
        <v>109</v>
      </c>
      <c r="M121" s="14" t="n">
        <v>817</v>
      </c>
      <c r="N121" s="2" t="s">
        <v>73</v>
      </c>
      <c r="O121" s="14" t="n">
        <f aca="false">IFERROR(M121/I121,"")</f>
        <v>45.3888888888889</v>
      </c>
    </row>
    <row r="122" customFormat="false" ht="15" hidden="false" customHeight="false" outlineLevel="0" collapsed="false">
      <c r="A122" s="2" t="s">
        <v>329</v>
      </c>
      <c r="B122" s="2" t="s">
        <v>111</v>
      </c>
      <c r="C122" s="2" t="s">
        <v>76</v>
      </c>
      <c r="D122" s="2" t="s">
        <v>84</v>
      </c>
      <c r="E122" s="2" t="s">
        <v>116</v>
      </c>
      <c r="F122" s="2" t="s">
        <v>330</v>
      </c>
      <c r="G122" s="11" t="n">
        <v>35.3</v>
      </c>
      <c r="H122" s="11" t="n">
        <v>24.1</v>
      </c>
      <c r="I122" s="12" t="n">
        <v>3</v>
      </c>
      <c r="J122" s="11" t="n">
        <v>11.7</v>
      </c>
      <c r="K122" s="13" t="n">
        <v>63.4</v>
      </c>
      <c r="L122" s="2" t="s">
        <v>104</v>
      </c>
      <c r="M122" s="14" t="n">
        <v>25470</v>
      </c>
      <c r="N122" s="2" t="s">
        <v>73</v>
      </c>
      <c r="O122" s="14" t="n">
        <f aca="false">IFERROR(M122/I122,"")</f>
        <v>8490</v>
      </c>
    </row>
    <row r="123" customFormat="false" ht="15" hidden="false" customHeight="false" outlineLevel="0" collapsed="false">
      <c r="A123" s="2" t="s">
        <v>331</v>
      </c>
      <c r="B123" s="2" t="s">
        <v>101</v>
      </c>
      <c r="C123" s="2" t="s">
        <v>102</v>
      </c>
      <c r="D123" s="2" t="s">
        <v>127</v>
      </c>
      <c r="E123" s="2" t="s">
        <v>98</v>
      </c>
      <c r="F123" s="2" t="s">
        <v>142</v>
      </c>
      <c r="G123" s="11" t="n">
        <v>28.3</v>
      </c>
      <c r="H123" s="11" t="n">
        <v>22.1</v>
      </c>
      <c r="I123" s="12" t="n">
        <v>17</v>
      </c>
      <c r="J123" s="11" t="n">
        <v>59.5</v>
      </c>
      <c r="K123" s="13" t="n">
        <v>93.6</v>
      </c>
      <c r="L123" s="2" t="s">
        <v>87</v>
      </c>
      <c r="M123" s="14" t="n">
        <v>7073</v>
      </c>
      <c r="N123" s="2" t="s">
        <v>73</v>
      </c>
      <c r="O123" s="14" t="n">
        <f aca="false">IFERROR(M123/I123,"")</f>
        <v>416.058823529412</v>
      </c>
    </row>
    <row r="124" customFormat="false" ht="15" hidden="false" customHeight="false" outlineLevel="0" collapsed="false">
      <c r="A124" s="2" t="s">
        <v>332</v>
      </c>
      <c r="B124" s="2" t="s">
        <v>93</v>
      </c>
      <c r="C124" s="2" t="s">
        <v>83</v>
      </c>
      <c r="D124" s="2" t="s">
        <v>127</v>
      </c>
      <c r="E124" s="2" t="s">
        <v>78</v>
      </c>
      <c r="F124" s="2" t="s">
        <v>333</v>
      </c>
      <c r="G124" s="11" t="n">
        <v>13.8</v>
      </c>
      <c r="H124" s="11" t="n">
        <v>7</v>
      </c>
      <c r="I124" s="12" t="n">
        <v>13</v>
      </c>
      <c r="J124" s="11" t="n">
        <v>7.8</v>
      </c>
      <c r="K124" s="13" t="n">
        <v>54.3</v>
      </c>
      <c r="L124" s="2" t="s">
        <v>104</v>
      </c>
      <c r="M124" s="14" t="n">
        <v>674</v>
      </c>
      <c r="N124" s="2" t="s">
        <v>73</v>
      </c>
      <c r="O124" s="14" t="n">
        <f aca="false">IFERROR(M124/I124,"")</f>
        <v>51.8461538461539</v>
      </c>
    </row>
    <row r="125" customFormat="false" ht="15" hidden="false" customHeight="false" outlineLevel="0" collapsed="false">
      <c r="A125" s="2" t="s">
        <v>334</v>
      </c>
      <c r="B125" s="2" t="s">
        <v>93</v>
      </c>
      <c r="C125" s="2" t="s">
        <v>83</v>
      </c>
      <c r="D125" s="2" t="s">
        <v>77</v>
      </c>
      <c r="E125" s="2" t="s">
        <v>90</v>
      </c>
      <c r="F125" s="2" t="s">
        <v>335</v>
      </c>
      <c r="G125" s="11" t="n">
        <v>14.2</v>
      </c>
      <c r="H125" s="11" t="n">
        <v>6.6</v>
      </c>
      <c r="I125" s="12" t="n">
        <v>33</v>
      </c>
      <c r="J125" s="11" t="n">
        <v>109.9</v>
      </c>
      <c r="K125" s="13" t="n">
        <v>46.4</v>
      </c>
      <c r="L125" s="2" t="s">
        <v>72</v>
      </c>
      <c r="M125" s="14" t="n">
        <v>621</v>
      </c>
      <c r="N125" s="2" t="s">
        <v>135</v>
      </c>
      <c r="O125" s="14" t="n">
        <f aca="false">IFERROR(M125/I125,"")</f>
        <v>18.8181818181818</v>
      </c>
    </row>
    <row r="126" customFormat="false" ht="15" hidden="false" customHeight="false" outlineLevel="0" collapsed="false">
      <c r="A126" s="2" t="s">
        <v>336</v>
      </c>
      <c r="B126" s="2" t="s">
        <v>93</v>
      </c>
      <c r="C126" s="2" t="s">
        <v>83</v>
      </c>
      <c r="D126" s="2" t="s">
        <v>127</v>
      </c>
      <c r="E126" s="2" t="s">
        <v>107</v>
      </c>
      <c r="F126" s="2" t="s">
        <v>337</v>
      </c>
      <c r="G126" s="11" t="n">
        <v>13</v>
      </c>
      <c r="H126" s="11" t="n">
        <v>10</v>
      </c>
      <c r="I126" s="12" t="n">
        <v>25</v>
      </c>
      <c r="J126" s="11" t="n">
        <v>37</v>
      </c>
      <c r="K126" s="13" t="n">
        <v>49.8</v>
      </c>
      <c r="L126" s="2" t="s">
        <v>72</v>
      </c>
      <c r="M126" s="14" t="n">
        <v>658</v>
      </c>
      <c r="N126" s="2" t="s">
        <v>80</v>
      </c>
      <c r="O126" s="14" t="n">
        <f aca="false">IFERROR(M126/I126,"")</f>
        <v>26.32</v>
      </c>
    </row>
    <row r="127" customFormat="false" ht="15" hidden="false" customHeight="false" outlineLevel="0" collapsed="false">
      <c r="A127" s="2" t="s">
        <v>338</v>
      </c>
      <c r="B127" s="2" t="s">
        <v>106</v>
      </c>
      <c r="C127" s="2" t="s">
        <v>68</v>
      </c>
      <c r="D127" s="2" t="s">
        <v>122</v>
      </c>
      <c r="E127" s="2" t="s">
        <v>98</v>
      </c>
      <c r="F127" s="2" t="s">
        <v>249</v>
      </c>
      <c r="G127" s="11" t="n">
        <v>63.8</v>
      </c>
      <c r="H127" s="11" t="n">
        <v>13.4</v>
      </c>
      <c r="I127" s="12" t="n">
        <v>2</v>
      </c>
      <c r="J127" s="11" t="n">
        <v>9</v>
      </c>
      <c r="K127" s="13" t="n">
        <v>88.2</v>
      </c>
      <c r="L127" s="2" t="s">
        <v>104</v>
      </c>
      <c r="M127" s="14" t="n">
        <v>4203</v>
      </c>
      <c r="N127" s="2" t="s">
        <v>73</v>
      </c>
      <c r="O127" s="14" t="n">
        <f aca="false">IFERROR(M127/I127,"")</f>
        <v>2101.5</v>
      </c>
    </row>
    <row r="128" customFormat="false" ht="15" hidden="false" customHeight="false" outlineLevel="0" collapsed="false">
      <c r="A128" s="2" t="s">
        <v>339</v>
      </c>
      <c r="B128" s="2" t="s">
        <v>111</v>
      </c>
      <c r="C128" s="2" t="s">
        <v>76</v>
      </c>
      <c r="D128" s="2" t="s">
        <v>77</v>
      </c>
      <c r="E128" s="2" t="s">
        <v>90</v>
      </c>
      <c r="F128" s="2" t="s">
        <v>340</v>
      </c>
      <c r="G128" s="11" t="n">
        <v>31.4</v>
      </c>
      <c r="H128" s="11" t="n">
        <v>17.7</v>
      </c>
      <c r="I128" s="12" t="n">
        <v>4</v>
      </c>
      <c r="J128" s="11" t="n">
        <v>27.9</v>
      </c>
      <c r="K128" s="13" t="n">
        <v>71</v>
      </c>
      <c r="L128" s="2" t="s">
        <v>104</v>
      </c>
      <c r="M128" s="14" t="n">
        <v>16475</v>
      </c>
      <c r="N128" s="2" t="s">
        <v>73</v>
      </c>
      <c r="O128" s="14" t="n">
        <f aca="false">IFERROR(M128/I128,"")</f>
        <v>4118.75</v>
      </c>
    </row>
    <row r="129" customFormat="false" ht="15" hidden="false" customHeight="false" outlineLevel="0" collapsed="false">
      <c r="A129" s="2" t="s">
        <v>341</v>
      </c>
      <c r="B129" s="2" t="s">
        <v>96</v>
      </c>
      <c r="C129" s="2" t="s">
        <v>97</v>
      </c>
      <c r="D129" s="2" t="s">
        <v>84</v>
      </c>
      <c r="E129" s="2" t="s">
        <v>98</v>
      </c>
      <c r="F129" s="2" t="s">
        <v>342</v>
      </c>
      <c r="G129" s="11" t="n">
        <v>24.5</v>
      </c>
      <c r="H129" s="11" t="n">
        <v>38.7</v>
      </c>
      <c r="I129" s="12" t="n">
        <v>4</v>
      </c>
      <c r="J129" s="11" t="n">
        <v>15.6</v>
      </c>
      <c r="K129" s="13" t="n">
        <v>61</v>
      </c>
      <c r="L129" s="2" t="s">
        <v>104</v>
      </c>
      <c r="M129" s="14" t="n">
        <v>15326</v>
      </c>
      <c r="N129" s="2" t="s">
        <v>73</v>
      </c>
      <c r="O129" s="14" t="n">
        <f aca="false">IFERROR(M129/I129,"")</f>
        <v>3831.5</v>
      </c>
    </row>
    <row r="130" customFormat="false" ht="15" hidden="false" customHeight="false" outlineLevel="0" collapsed="false">
      <c r="A130" s="2" t="s">
        <v>343</v>
      </c>
      <c r="B130" s="2" t="s">
        <v>82</v>
      </c>
      <c r="C130" s="2" t="s">
        <v>83</v>
      </c>
      <c r="D130" s="2" t="s">
        <v>77</v>
      </c>
      <c r="E130" s="2" t="s">
        <v>107</v>
      </c>
      <c r="F130" s="2" t="s">
        <v>182</v>
      </c>
      <c r="G130" s="11" t="n">
        <v>13.8</v>
      </c>
      <c r="H130" s="11" t="n">
        <v>10.1</v>
      </c>
      <c r="I130" s="12" t="n">
        <v>63</v>
      </c>
      <c r="J130" s="11" t="n">
        <v>42</v>
      </c>
      <c r="K130" s="13" t="n">
        <v>51.9</v>
      </c>
      <c r="L130" s="2" t="s">
        <v>104</v>
      </c>
      <c r="M130" s="14" t="n">
        <v>703</v>
      </c>
      <c r="N130" s="2" t="s">
        <v>73</v>
      </c>
      <c r="O130" s="14" t="n">
        <f aca="false">IFERROR(M130/I130,"")</f>
        <v>11.1587301587302</v>
      </c>
    </row>
    <row r="131" customFormat="false" ht="15" hidden="false" customHeight="false" outlineLevel="0" collapsed="false">
      <c r="A131" s="2" t="s">
        <v>344</v>
      </c>
      <c r="B131" s="2" t="s">
        <v>93</v>
      </c>
      <c r="C131" s="2" t="s">
        <v>83</v>
      </c>
      <c r="D131" s="2" t="s">
        <v>122</v>
      </c>
      <c r="E131" s="2" t="s">
        <v>78</v>
      </c>
      <c r="F131" s="2" t="s">
        <v>345</v>
      </c>
      <c r="G131" s="11" t="n">
        <v>12.1</v>
      </c>
      <c r="H131" s="11" t="n">
        <v>7.3</v>
      </c>
      <c r="I131" s="12" t="n">
        <v>10</v>
      </c>
      <c r="J131" s="11" t="n">
        <v>14.2</v>
      </c>
      <c r="K131" s="13" t="n">
        <v>44.4</v>
      </c>
      <c r="L131" s="2" t="s">
        <v>72</v>
      </c>
      <c r="M131" s="14" t="n">
        <v>536</v>
      </c>
      <c r="N131" s="2" t="s">
        <v>73</v>
      </c>
      <c r="O131" s="14" t="n">
        <f aca="false">IFERROR(M131/I131,"")</f>
        <v>53.6</v>
      </c>
    </row>
    <row r="132" customFormat="false" ht="15" hidden="false" customHeight="false" outlineLevel="0" collapsed="false">
      <c r="A132" s="2" t="s">
        <v>346</v>
      </c>
      <c r="B132" s="2" t="s">
        <v>101</v>
      </c>
      <c r="C132" s="2" t="s">
        <v>102</v>
      </c>
      <c r="D132" s="2" t="s">
        <v>77</v>
      </c>
      <c r="E132" s="2" t="s">
        <v>107</v>
      </c>
      <c r="F132" s="2" t="s">
        <v>347</v>
      </c>
      <c r="G132" s="11" t="n">
        <v>37.3</v>
      </c>
      <c r="H132" s="11" t="n">
        <v>22.4</v>
      </c>
      <c r="I132" s="12" t="n">
        <v>6</v>
      </c>
      <c r="J132" s="11" t="n">
        <v>20.1</v>
      </c>
      <c r="K132" s="13" t="n">
        <v>92.9</v>
      </c>
      <c r="L132" s="2" t="s">
        <v>87</v>
      </c>
      <c r="M132" s="14" t="n">
        <v>10233</v>
      </c>
      <c r="N132" s="2" t="s">
        <v>73</v>
      </c>
      <c r="O132" s="14" t="n">
        <f aca="false">IFERROR(M132/I132,"")</f>
        <v>1705.5</v>
      </c>
    </row>
    <row r="133" customFormat="false" ht="15" hidden="false" customHeight="false" outlineLevel="0" collapsed="false">
      <c r="A133" s="2" t="s">
        <v>348</v>
      </c>
      <c r="B133" s="2" t="s">
        <v>111</v>
      </c>
      <c r="C133" s="2" t="s">
        <v>76</v>
      </c>
      <c r="D133" s="2" t="s">
        <v>69</v>
      </c>
      <c r="E133" s="2" t="s">
        <v>90</v>
      </c>
      <c r="F133" s="2" t="s">
        <v>349</v>
      </c>
      <c r="G133" s="11" t="n">
        <v>41.6</v>
      </c>
      <c r="H133" s="11" t="n">
        <v>25.3</v>
      </c>
      <c r="I133" s="12" t="n">
        <v>12</v>
      </c>
      <c r="J133" s="11" t="n">
        <v>104.4</v>
      </c>
      <c r="K133" s="13" t="n">
        <v>67</v>
      </c>
      <c r="L133" s="2" t="s">
        <v>104</v>
      </c>
      <c r="M133" s="14" t="n">
        <v>19683</v>
      </c>
      <c r="N133" s="2" t="s">
        <v>80</v>
      </c>
      <c r="O133" s="14" t="n">
        <f aca="false">IFERROR(M133/I133,"")</f>
        <v>1640.25</v>
      </c>
    </row>
    <row r="134" customFormat="false" ht="15" hidden="false" customHeight="false" outlineLevel="0" collapsed="false">
      <c r="A134" s="2" t="s">
        <v>350</v>
      </c>
      <c r="B134" s="2" t="s">
        <v>125</v>
      </c>
      <c r="C134" s="2" t="s">
        <v>126</v>
      </c>
      <c r="D134" s="2" t="s">
        <v>84</v>
      </c>
      <c r="E134" s="2" t="s">
        <v>85</v>
      </c>
      <c r="F134" s="2" t="s">
        <v>351</v>
      </c>
      <c r="G134" s="11" t="n">
        <v>400.6</v>
      </c>
      <c r="H134" s="11" t="n">
        <v>616.7</v>
      </c>
      <c r="I134" s="12" t="n">
        <v>10</v>
      </c>
      <c r="J134" s="11" t="n">
        <v>1058.4</v>
      </c>
      <c r="K134" s="13" t="n">
        <v>74.1</v>
      </c>
      <c r="L134" s="2" t="s">
        <v>87</v>
      </c>
      <c r="M134" s="14" t="n">
        <v>181532</v>
      </c>
      <c r="N134" s="2" t="s">
        <v>73</v>
      </c>
      <c r="O134" s="14" t="n">
        <f aca="false">IFERROR(M134/I134,"")</f>
        <v>18153.2</v>
      </c>
    </row>
    <row r="135" customFormat="false" ht="15" hidden="false" customHeight="false" outlineLevel="0" collapsed="false">
      <c r="A135" s="2" t="s">
        <v>352</v>
      </c>
      <c r="B135" s="2" t="s">
        <v>101</v>
      </c>
      <c r="C135" s="2" t="s">
        <v>102</v>
      </c>
      <c r="D135" s="2" t="s">
        <v>84</v>
      </c>
      <c r="E135" s="2" t="s">
        <v>107</v>
      </c>
      <c r="F135" s="2" t="s">
        <v>353</v>
      </c>
      <c r="G135" s="11" t="n">
        <v>47.7</v>
      </c>
      <c r="H135" s="11" t="n">
        <v>23</v>
      </c>
      <c r="I135" s="12" t="n">
        <v>17</v>
      </c>
      <c r="J135" s="11" t="n">
        <v>58.2</v>
      </c>
      <c r="K135" s="13" t="n">
        <v>82.8</v>
      </c>
      <c r="L135" s="2" t="s">
        <v>72</v>
      </c>
      <c r="M135" s="14" t="n">
        <v>4526</v>
      </c>
      <c r="N135" s="2" t="s">
        <v>73</v>
      </c>
      <c r="O135" s="14" t="n">
        <f aca="false">IFERROR(M135/I135,"")</f>
        <v>266.235294117647</v>
      </c>
    </row>
    <row r="136" customFormat="false" ht="15" hidden="false" customHeight="false" outlineLevel="0" collapsed="false">
      <c r="A136" s="2" t="s">
        <v>354</v>
      </c>
      <c r="B136" s="2" t="s">
        <v>165</v>
      </c>
      <c r="C136" s="2" t="s">
        <v>68</v>
      </c>
      <c r="D136" s="2" t="s">
        <v>77</v>
      </c>
      <c r="E136" s="2" t="s">
        <v>70</v>
      </c>
      <c r="F136" s="2" t="s">
        <v>292</v>
      </c>
      <c r="G136" s="11" t="n">
        <v>46.7</v>
      </c>
      <c r="H136" s="11" t="n">
        <v>18.2</v>
      </c>
      <c r="I136" s="12" t="n">
        <v>15</v>
      </c>
      <c r="J136" s="11" t="n">
        <v>174.8</v>
      </c>
      <c r="K136" s="13" t="n">
        <v>83</v>
      </c>
      <c r="L136" s="2" t="s">
        <v>104</v>
      </c>
      <c r="M136" s="14" t="n">
        <v>4209</v>
      </c>
      <c r="N136" s="2" t="s">
        <v>73</v>
      </c>
      <c r="O136" s="14" t="n">
        <f aca="false">IFERROR(M136/I136,"")</f>
        <v>280.6</v>
      </c>
    </row>
    <row r="137" customFormat="false" ht="15" hidden="false" customHeight="false" outlineLevel="0" collapsed="false">
      <c r="A137" s="2" t="s">
        <v>355</v>
      </c>
      <c r="B137" s="2" t="s">
        <v>75</v>
      </c>
      <c r="C137" s="2" t="s">
        <v>76</v>
      </c>
      <c r="D137" s="2" t="s">
        <v>77</v>
      </c>
      <c r="E137" s="2" t="s">
        <v>85</v>
      </c>
      <c r="F137" s="2" t="s">
        <v>253</v>
      </c>
      <c r="G137" s="11" t="n">
        <v>40</v>
      </c>
      <c r="H137" s="11" t="n">
        <v>23.3</v>
      </c>
      <c r="I137" s="12" t="n">
        <v>3</v>
      </c>
      <c r="J137" s="11" t="n">
        <v>13.9</v>
      </c>
      <c r="K137" s="13" t="n">
        <v>72.6</v>
      </c>
      <c r="L137" s="2" t="s">
        <v>87</v>
      </c>
      <c r="M137" s="14" t="n">
        <v>20888</v>
      </c>
      <c r="N137" s="2" t="s">
        <v>80</v>
      </c>
      <c r="O137" s="14" t="n">
        <f aca="false">IFERROR(M137/I137,"")</f>
        <v>6962.66666666667</v>
      </c>
    </row>
    <row r="138" customFormat="false" ht="15" hidden="false" customHeight="false" outlineLevel="0" collapsed="false">
      <c r="A138" s="2" t="s">
        <v>356</v>
      </c>
      <c r="B138" s="2" t="s">
        <v>125</v>
      </c>
      <c r="C138" s="2" t="s">
        <v>126</v>
      </c>
      <c r="D138" s="2" t="s">
        <v>77</v>
      </c>
      <c r="E138" s="2" t="s">
        <v>78</v>
      </c>
      <c r="F138" s="2" t="s">
        <v>357</v>
      </c>
      <c r="G138" s="11" t="n">
        <v>444</v>
      </c>
      <c r="H138" s="11" t="n">
        <v>490.8</v>
      </c>
      <c r="I138" s="12" t="n">
        <v>24</v>
      </c>
      <c r="J138" s="11" t="n">
        <v>434.5</v>
      </c>
      <c r="K138" s="13" t="n">
        <v>76</v>
      </c>
      <c r="L138" s="2" t="s">
        <v>72</v>
      </c>
      <c r="M138" s="14" t="n">
        <v>169818</v>
      </c>
      <c r="N138" s="2" t="s">
        <v>73</v>
      </c>
      <c r="O138" s="14" t="n">
        <f aca="false">IFERROR(M138/I138,"")</f>
        <v>7075.75</v>
      </c>
    </row>
    <row r="139" customFormat="false" ht="15" hidden="false" customHeight="false" outlineLevel="0" collapsed="false">
      <c r="A139" s="2" t="s">
        <v>358</v>
      </c>
      <c r="B139" s="2" t="s">
        <v>96</v>
      </c>
      <c r="C139" s="2" t="s">
        <v>97</v>
      </c>
      <c r="D139" s="2" t="s">
        <v>77</v>
      </c>
      <c r="E139" s="2" t="s">
        <v>90</v>
      </c>
      <c r="F139" s="2" t="s">
        <v>359</v>
      </c>
      <c r="G139" s="11" t="n">
        <v>24.7</v>
      </c>
      <c r="H139" s="11" t="n">
        <v>29.1</v>
      </c>
      <c r="I139" s="12" t="n">
        <v>13</v>
      </c>
      <c r="J139" s="11" t="n">
        <v>63.7</v>
      </c>
      <c r="K139" s="13" t="n">
        <v>62.8</v>
      </c>
      <c r="L139" s="2" t="s">
        <v>87</v>
      </c>
      <c r="M139" s="14" t="n">
        <v>17701</v>
      </c>
      <c r="N139" s="2" t="s">
        <v>80</v>
      </c>
      <c r="O139" s="14" t="n">
        <f aca="false">IFERROR(M139/I139,"")</f>
        <v>1361.61538461538</v>
      </c>
    </row>
    <row r="140" customFormat="false" ht="15" hidden="false" customHeight="false" outlineLevel="0" collapsed="false">
      <c r="A140" s="2" t="s">
        <v>360</v>
      </c>
      <c r="B140" s="2" t="s">
        <v>89</v>
      </c>
      <c r="C140" s="2" t="s">
        <v>83</v>
      </c>
      <c r="D140" s="2" t="s">
        <v>69</v>
      </c>
      <c r="E140" s="2" t="s">
        <v>85</v>
      </c>
      <c r="F140" s="2" t="s">
        <v>361</v>
      </c>
      <c r="G140" s="11" t="n">
        <v>14.1</v>
      </c>
      <c r="H140" s="11" t="n">
        <v>10.6</v>
      </c>
      <c r="I140" s="12" t="n">
        <v>6</v>
      </c>
      <c r="J140" s="11" t="n">
        <v>13.6</v>
      </c>
      <c r="K140" s="13" t="n">
        <v>65.9</v>
      </c>
      <c r="L140" s="2" t="s">
        <v>87</v>
      </c>
      <c r="M140" s="14" t="n">
        <v>423</v>
      </c>
      <c r="N140" s="2" t="s">
        <v>80</v>
      </c>
      <c r="O140" s="14" t="n">
        <f aca="false">IFERROR(M140/I140,"")</f>
        <v>70.5</v>
      </c>
    </row>
    <row r="141" customFormat="false" ht="15" hidden="false" customHeight="false" outlineLevel="0" collapsed="false">
      <c r="A141" s="2" t="s">
        <v>362</v>
      </c>
      <c r="B141" s="2" t="s">
        <v>75</v>
      </c>
      <c r="C141" s="2" t="s">
        <v>76</v>
      </c>
      <c r="D141" s="2" t="s">
        <v>122</v>
      </c>
      <c r="E141" s="2" t="s">
        <v>90</v>
      </c>
      <c r="F141" s="2" t="s">
        <v>363</v>
      </c>
      <c r="G141" s="11" t="n">
        <v>46.6</v>
      </c>
      <c r="H141" s="11" t="n">
        <v>28</v>
      </c>
      <c r="I141" s="12" t="n">
        <v>15</v>
      </c>
      <c r="J141" s="11" t="n">
        <v>108</v>
      </c>
      <c r="K141" s="13" t="n">
        <v>69.8</v>
      </c>
      <c r="L141" s="2" t="s">
        <v>104</v>
      </c>
      <c r="M141" s="14" t="n">
        <v>25466</v>
      </c>
      <c r="N141" s="2" t="s">
        <v>73</v>
      </c>
      <c r="O141" s="14" t="n">
        <f aca="false">IFERROR(M141/I141,"")</f>
        <v>1697.73333333333</v>
      </c>
    </row>
    <row r="142" customFormat="false" ht="15" hidden="false" customHeight="false" outlineLevel="0" collapsed="false">
      <c r="A142" s="2" t="s">
        <v>364</v>
      </c>
      <c r="B142" s="2" t="s">
        <v>111</v>
      </c>
      <c r="C142" s="2" t="s">
        <v>76</v>
      </c>
      <c r="D142" s="2" t="s">
        <v>77</v>
      </c>
      <c r="E142" s="2" t="s">
        <v>78</v>
      </c>
      <c r="F142" s="2" t="s">
        <v>365</v>
      </c>
      <c r="G142" s="11" t="n">
        <v>42.8</v>
      </c>
      <c r="H142" s="11" t="n">
        <v>25.1</v>
      </c>
      <c r="I142" s="12" t="n">
        <v>22</v>
      </c>
      <c r="J142" s="11" t="n">
        <v>203.4</v>
      </c>
      <c r="K142" s="13" t="n">
        <v>65.3</v>
      </c>
      <c r="L142" s="2" t="s">
        <v>72</v>
      </c>
      <c r="M142" s="14" t="n">
        <v>26208</v>
      </c>
      <c r="N142" s="2" t="s">
        <v>73</v>
      </c>
      <c r="O142" s="14" t="n">
        <f aca="false">IFERROR(M142/I142,"")</f>
        <v>1191.27272727273</v>
      </c>
    </row>
    <row r="143" customFormat="false" ht="15" hidden="false" customHeight="false" outlineLevel="0" collapsed="false">
      <c r="A143" s="2" t="s">
        <v>366</v>
      </c>
      <c r="B143" s="2" t="s">
        <v>82</v>
      </c>
      <c r="C143" s="2" t="s">
        <v>83</v>
      </c>
      <c r="D143" s="2" t="s">
        <v>127</v>
      </c>
      <c r="E143" s="2" t="s">
        <v>90</v>
      </c>
      <c r="F143" s="2" t="s">
        <v>367</v>
      </c>
      <c r="G143" s="11" t="n">
        <v>15.3</v>
      </c>
      <c r="H143" s="11" t="n">
        <v>8.7</v>
      </c>
      <c r="I143" s="12" t="n">
        <v>27</v>
      </c>
      <c r="J143" s="11" t="n">
        <v>105.4</v>
      </c>
      <c r="K143" s="13" t="n">
        <v>50.6</v>
      </c>
      <c r="L143" s="2" t="s">
        <v>72</v>
      </c>
      <c r="M143" s="14" t="n">
        <v>416</v>
      </c>
      <c r="N143" s="2" t="s">
        <v>80</v>
      </c>
      <c r="O143" s="14" t="n">
        <f aca="false">IFERROR(M143/I143,"")</f>
        <v>15.4074074074074</v>
      </c>
    </row>
    <row r="144" customFormat="false" ht="15" hidden="false" customHeight="false" outlineLevel="0" collapsed="false">
      <c r="A144" s="2" t="s">
        <v>368</v>
      </c>
      <c r="B144" s="2" t="s">
        <v>67</v>
      </c>
      <c r="C144" s="2" t="s">
        <v>68</v>
      </c>
      <c r="D144" s="2" t="s">
        <v>77</v>
      </c>
      <c r="E144" s="2" t="s">
        <v>78</v>
      </c>
      <c r="F144" s="2" t="s">
        <v>120</v>
      </c>
      <c r="G144" s="11" t="n">
        <v>51.5</v>
      </c>
      <c r="H144" s="11" t="n">
        <v>15.9</v>
      </c>
      <c r="I144" s="12" t="n">
        <v>26</v>
      </c>
      <c r="J144" s="11" t="n">
        <v>246.2</v>
      </c>
      <c r="K144" s="13" t="n">
        <v>87.9</v>
      </c>
      <c r="L144" s="2" t="s">
        <v>104</v>
      </c>
      <c r="M144" s="14" t="n">
        <v>3668</v>
      </c>
      <c r="N144" s="2" t="s">
        <v>135</v>
      </c>
      <c r="O144" s="14" t="n">
        <f aca="false">IFERROR(M144/I144,"")</f>
        <v>141.076923076923</v>
      </c>
    </row>
    <row r="145" customFormat="false" ht="15" hidden="false" customHeight="false" outlineLevel="0" collapsed="false">
      <c r="A145" s="2" t="s">
        <v>369</v>
      </c>
      <c r="B145" s="2" t="s">
        <v>82</v>
      </c>
      <c r="C145" s="2" t="s">
        <v>83</v>
      </c>
      <c r="D145" s="2" t="s">
        <v>84</v>
      </c>
      <c r="E145" s="2" t="s">
        <v>107</v>
      </c>
      <c r="F145" s="2" t="s">
        <v>370</v>
      </c>
      <c r="G145" s="11" t="n">
        <v>13.3</v>
      </c>
      <c r="H145" s="11" t="n">
        <v>9</v>
      </c>
      <c r="I145" s="12" t="n">
        <v>24</v>
      </c>
      <c r="J145" s="11" t="n">
        <v>42.5</v>
      </c>
      <c r="K145" s="13" t="n">
        <v>50.7</v>
      </c>
      <c r="L145" s="2" t="s">
        <v>109</v>
      </c>
      <c r="M145" s="14" t="n">
        <v>605</v>
      </c>
      <c r="N145" s="2" t="s">
        <v>135</v>
      </c>
      <c r="O145" s="14" t="n">
        <f aca="false">IFERROR(M145/I145,"")</f>
        <v>25.2083333333333</v>
      </c>
    </row>
    <row r="146" customFormat="false" ht="15" hidden="false" customHeight="false" outlineLevel="0" collapsed="false">
      <c r="A146" s="2" t="s">
        <v>371</v>
      </c>
      <c r="B146" s="2" t="s">
        <v>101</v>
      </c>
      <c r="C146" s="2" t="s">
        <v>102</v>
      </c>
      <c r="D146" s="2" t="s">
        <v>69</v>
      </c>
      <c r="E146" s="2" t="s">
        <v>85</v>
      </c>
      <c r="F146" s="2" t="s">
        <v>372</v>
      </c>
      <c r="G146" s="11" t="n">
        <v>45.3</v>
      </c>
      <c r="H146" s="11" t="n">
        <v>29.1</v>
      </c>
      <c r="I146" s="12" t="n">
        <v>24</v>
      </c>
      <c r="J146" s="11" t="n">
        <v>139.1</v>
      </c>
      <c r="K146" s="13" t="n">
        <v>84.5</v>
      </c>
      <c r="L146" s="2" t="s">
        <v>87</v>
      </c>
      <c r="M146" s="14" t="n">
        <v>6885</v>
      </c>
      <c r="N146" s="2" t="s">
        <v>73</v>
      </c>
      <c r="O146" s="14" t="n">
        <f aca="false">IFERROR(M146/I146,"")</f>
        <v>286.875</v>
      </c>
    </row>
    <row r="147" customFormat="false" ht="15" hidden="false" customHeight="false" outlineLevel="0" collapsed="false">
      <c r="A147" s="2" t="s">
        <v>373</v>
      </c>
      <c r="B147" s="2" t="s">
        <v>67</v>
      </c>
      <c r="C147" s="2" t="s">
        <v>68</v>
      </c>
      <c r="D147" s="2" t="s">
        <v>84</v>
      </c>
      <c r="E147" s="2" t="s">
        <v>90</v>
      </c>
      <c r="F147" s="2" t="s">
        <v>374</v>
      </c>
      <c r="G147" s="11" t="n">
        <v>58</v>
      </c>
      <c r="H147" s="11" t="n">
        <v>21.5</v>
      </c>
      <c r="I147" s="12" t="n">
        <v>19</v>
      </c>
      <c r="J147" s="11" t="n">
        <v>284</v>
      </c>
      <c r="K147" s="13" t="n">
        <v>76.1</v>
      </c>
      <c r="L147" s="2" t="s">
        <v>109</v>
      </c>
      <c r="M147" s="14" t="n">
        <v>2683</v>
      </c>
      <c r="N147" s="2" t="s">
        <v>80</v>
      </c>
      <c r="O147" s="14" t="n">
        <f aca="false">IFERROR(M147/I147,"")</f>
        <v>141.210526315789</v>
      </c>
    </row>
    <row r="148" customFormat="false" ht="15" hidden="false" customHeight="false" outlineLevel="0" collapsed="false">
      <c r="A148" s="2" t="s">
        <v>375</v>
      </c>
      <c r="B148" s="2" t="s">
        <v>67</v>
      </c>
      <c r="C148" s="2" t="s">
        <v>68</v>
      </c>
      <c r="D148" s="2" t="s">
        <v>130</v>
      </c>
      <c r="E148" s="2" t="s">
        <v>78</v>
      </c>
      <c r="F148" s="2" t="s">
        <v>376</v>
      </c>
      <c r="G148" s="11" t="n">
        <v>61.8</v>
      </c>
      <c r="H148" s="11" t="n">
        <v>17.9</v>
      </c>
      <c r="I148" s="12" t="n">
        <v>23</v>
      </c>
      <c r="J148" s="11" t="n">
        <v>282.5</v>
      </c>
      <c r="K148" s="13" t="n">
        <v>68.7</v>
      </c>
      <c r="L148" s="2" t="s">
        <v>109</v>
      </c>
      <c r="M148" s="14" t="n">
        <v>3960</v>
      </c>
      <c r="N148" s="2" t="s">
        <v>135</v>
      </c>
      <c r="O148" s="14" t="n">
        <f aca="false">IFERROR(M148/I148,"")</f>
        <v>172.173913043478</v>
      </c>
    </row>
    <row r="149" customFormat="false" ht="15" hidden="false" customHeight="false" outlineLevel="0" collapsed="false">
      <c r="A149" s="2" t="s">
        <v>377</v>
      </c>
      <c r="B149" s="2" t="s">
        <v>93</v>
      </c>
      <c r="C149" s="2" t="s">
        <v>83</v>
      </c>
      <c r="D149" s="2" t="s">
        <v>69</v>
      </c>
      <c r="E149" s="2" t="s">
        <v>90</v>
      </c>
      <c r="F149" s="2" t="s">
        <v>378</v>
      </c>
      <c r="G149" s="11" t="n">
        <v>12.6</v>
      </c>
      <c r="H149" s="11" t="n">
        <v>9.5</v>
      </c>
      <c r="I149" s="12" t="n">
        <v>45</v>
      </c>
      <c r="J149" s="11" t="n">
        <v>101</v>
      </c>
      <c r="K149" s="13" t="n">
        <v>51.9</v>
      </c>
      <c r="L149" s="2" t="s">
        <v>72</v>
      </c>
      <c r="M149" s="14" t="n">
        <v>788</v>
      </c>
      <c r="N149" s="2" t="s">
        <v>80</v>
      </c>
      <c r="O149" s="14" t="n">
        <f aca="false">IFERROR(M149/I149,"")</f>
        <v>17.5111111111111</v>
      </c>
    </row>
    <row r="150" customFormat="false" ht="15" hidden="false" customHeight="false" outlineLevel="0" collapsed="false">
      <c r="A150" s="2" t="s">
        <v>379</v>
      </c>
      <c r="B150" s="2" t="s">
        <v>67</v>
      </c>
      <c r="C150" s="2" t="s">
        <v>68</v>
      </c>
      <c r="D150" s="2" t="s">
        <v>127</v>
      </c>
      <c r="E150" s="2" t="s">
        <v>70</v>
      </c>
      <c r="F150" s="2" t="s">
        <v>380</v>
      </c>
      <c r="G150" s="11" t="n">
        <v>52.7</v>
      </c>
      <c r="H150" s="11" t="n">
        <v>13.8</v>
      </c>
      <c r="I150" s="12" t="n">
        <v>20</v>
      </c>
      <c r="J150" s="11" t="n">
        <v>104.7</v>
      </c>
      <c r="K150" s="13" t="n">
        <v>78.6</v>
      </c>
      <c r="L150" s="2" t="s">
        <v>72</v>
      </c>
      <c r="M150" s="14" t="n">
        <v>2789</v>
      </c>
      <c r="N150" s="2" t="s">
        <v>135</v>
      </c>
      <c r="O150" s="14" t="n">
        <f aca="false">IFERROR(M150/I150,"")</f>
        <v>139.45</v>
      </c>
    </row>
    <row r="151" customFormat="false" ht="15" hidden="false" customHeight="false" outlineLevel="0" collapsed="false">
      <c r="A151" s="2" t="s">
        <v>381</v>
      </c>
      <c r="B151" s="2" t="s">
        <v>89</v>
      </c>
      <c r="C151" s="2" t="s">
        <v>83</v>
      </c>
      <c r="D151" s="2" t="s">
        <v>84</v>
      </c>
      <c r="E151" s="2" t="s">
        <v>98</v>
      </c>
      <c r="F151" s="2" t="s">
        <v>382</v>
      </c>
      <c r="G151" s="11" t="n">
        <v>16.1</v>
      </c>
      <c r="H151" s="11" t="n">
        <v>8.8</v>
      </c>
      <c r="I151" s="12" t="n">
        <v>37</v>
      </c>
      <c r="J151" s="11" t="n">
        <v>54.2</v>
      </c>
      <c r="K151" s="13" t="n">
        <v>58.5</v>
      </c>
      <c r="L151" s="2" t="s">
        <v>87</v>
      </c>
      <c r="M151" s="14" t="n">
        <v>539</v>
      </c>
      <c r="N151" s="2" t="s">
        <v>73</v>
      </c>
      <c r="O151" s="14" t="n">
        <f aca="false">IFERROR(M151/I151,"")</f>
        <v>14.5675675675676</v>
      </c>
    </row>
    <row r="152" customFormat="false" ht="15" hidden="false" customHeight="false" outlineLevel="0" collapsed="false">
      <c r="A152" s="2" t="s">
        <v>383</v>
      </c>
      <c r="B152" s="2" t="s">
        <v>101</v>
      </c>
      <c r="C152" s="2" t="s">
        <v>102</v>
      </c>
      <c r="D152" s="2" t="s">
        <v>127</v>
      </c>
      <c r="E152" s="2" t="s">
        <v>90</v>
      </c>
      <c r="F152" s="2" t="s">
        <v>318</v>
      </c>
      <c r="G152" s="11" t="n">
        <v>36.1</v>
      </c>
      <c r="H152" s="11" t="n">
        <v>30.7</v>
      </c>
      <c r="I152" s="12" t="n">
        <v>14</v>
      </c>
      <c r="J152" s="11" t="n">
        <v>59.5</v>
      </c>
      <c r="K152" s="13" t="n">
        <v>83.3</v>
      </c>
      <c r="L152" s="2" t="s">
        <v>104</v>
      </c>
      <c r="M152" s="14" t="n">
        <v>9773</v>
      </c>
      <c r="N152" s="2" t="s">
        <v>73</v>
      </c>
      <c r="O152" s="14" t="n">
        <f aca="false">IFERROR(M152/I152,"")</f>
        <v>698.071428571429</v>
      </c>
    </row>
    <row r="153" customFormat="false" ht="15" hidden="false" customHeight="false" outlineLevel="0" collapsed="false">
      <c r="A153" s="2" t="s">
        <v>384</v>
      </c>
      <c r="B153" s="2" t="s">
        <v>89</v>
      </c>
      <c r="C153" s="2" t="s">
        <v>83</v>
      </c>
      <c r="D153" s="2" t="s">
        <v>130</v>
      </c>
      <c r="E153" s="2" t="s">
        <v>98</v>
      </c>
      <c r="F153" s="2" t="s">
        <v>184</v>
      </c>
      <c r="G153" s="11" t="n">
        <v>11.4</v>
      </c>
      <c r="H153" s="11" t="n">
        <v>8.8</v>
      </c>
      <c r="I153" s="12" t="n">
        <v>2</v>
      </c>
      <c r="J153" s="11" t="n">
        <v>4.5</v>
      </c>
      <c r="K153" s="13" t="n">
        <v>57.1</v>
      </c>
      <c r="L153" s="2" t="s">
        <v>104</v>
      </c>
      <c r="M153" s="14" t="n">
        <v>936</v>
      </c>
      <c r="N153" s="2" t="s">
        <v>80</v>
      </c>
      <c r="O153" s="14" t="n">
        <f aca="false">IFERROR(M153/I153,"")</f>
        <v>468</v>
      </c>
    </row>
    <row r="154" customFormat="false" ht="15" hidden="false" customHeight="false" outlineLevel="0" collapsed="false">
      <c r="A154" s="2" t="s">
        <v>385</v>
      </c>
      <c r="B154" s="2" t="s">
        <v>111</v>
      </c>
      <c r="C154" s="2" t="s">
        <v>76</v>
      </c>
      <c r="D154" s="2" t="s">
        <v>77</v>
      </c>
      <c r="E154" s="2" t="s">
        <v>98</v>
      </c>
      <c r="F154" s="2" t="s">
        <v>386</v>
      </c>
      <c r="G154" s="11" t="n">
        <v>36.3</v>
      </c>
      <c r="H154" s="11" t="n">
        <v>23.5</v>
      </c>
      <c r="I154" s="12" t="n">
        <v>7</v>
      </c>
      <c r="J154" s="11" t="n">
        <v>50.3</v>
      </c>
      <c r="K154" s="13" t="n">
        <v>71.1</v>
      </c>
      <c r="L154" s="2" t="s">
        <v>87</v>
      </c>
      <c r="M154" s="14" t="n">
        <v>15795</v>
      </c>
      <c r="N154" s="2" t="s">
        <v>73</v>
      </c>
      <c r="O154" s="14" t="n">
        <f aca="false">IFERROR(M154/I154,"")</f>
        <v>2256.42857142857</v>
      </c>
    </row>
    <row r="155" customFormat="false" ht="15" hidden="false" customHeight="false" outlineLevel="0" collapsed="false">
      <c r="A155" s="2" t="s">
        <v>387</v>
      </c>
      <c r="B155" s="2" t="s">
        <v>93</v>
      </c>
      <c r="C155" s="2" t="s">
        <v>83</v>
      </c>
      <c r="D155" s="2" t="s">
        <v>77</v>
      </c>
      <c r="E155" s="2" t="s">
        <v>78</v>
      </c>
      <c r="F155" s="2" t="s">
        <v>388</v>
      </c>
      <c r="G155" s="11" t="n">
        <v>13.7</v>
      </c>
      <c r="H155" s="11" t="n">
        <v>10.2</v>
      </c>
      <c r="I155" s="12" t="n">
        <v>18</v>
      </c>
      <c r="J155" s="11" t="n">
        <v>65.7</v>
      </c>
      <c r="K155" s="13" t="n">
        <v>59.6</v>
      </c>
      <c r="L155" s="2" t="s">
        <v>104</v>
      </c>
      <c r="M155" s="14" t="n">
        <v>478</v>
      </c>
      <c r="N155" s="2" t="s">
        <v>80</v>
      </c>
      <c r="O155" s="14" t="n">
        <f aca="false">IFERROR(M155/I155,"")</f>
        <v>26.5555555555556</v>
      </c>
    </row>
    <row r="156" customFormat="false" ht="15" hidden="false" customHeight="false" outlineLevel="0" collapsed="false">
      <c r="A156" s="2" t="s">
        <v>389</v>
      </c>
      <c r="B156" s="2" t="s">
        <v>75</v>
      </c>
      <c r="C156" s="2" t="s">
        <v>76</v>
      </c>
      <c r="D156" s="2" t="s">
        <v>77</v>
      </c>
      <c r="E156" s="2" t="s">
        <v>70</v>
      </c>
      <c r="F156" s="2" t="s">
        <v>390</v>
      </c>
      <c r="G156" s="11" t="n">
        <v>50.8</v>
      </c>
      <c r="H156" s="11" t="n">
        <v>24.8</v>
      </c>
      <c r="I156" s="12" t="n">
        <v>14</v>
      </c>
      <c r="J156" s="11" t="n">
        <v>76.4</v>
      </c>
      <c r="K156" s="13" t="n">
        <v>61.6</v>
      </c>
      <c r="L156" s="2" t="s">
        <v>104</v>
      </c>
      <c r="M156" s="14" t="n">
        <v>17652</v>
      </c>
      <c r="N156" s="2" t="s">
        <v>73</v>
      </c>
      <c r="O156" s="14" t="n">
        <f aca="false">IFERROR(M156/I156,"")</f>
        <v>1260.85714285714</v>
      </c>
    </row>
    <row r="157" customFormat="false" ht="15" hidden="false" customHeight="false" outlineLevel="0" collapsed="false">
      <c r="A157" s="2" t="s">
        <v>391</v>
      </c>
      <c r="B157" s="2" t="s">
        <v>106</v>
      </c>
      <c r="C157" s="2" t="s">
        <v>68</v>
      </c>
      <c r="D157" s="2" t="s">
        <v>130</v>
      </c>
      <c r="E157" s="2" t="s">
        <v>78</v>
      </c>
      <c r="F157" s="2" t="s">
        <v>392</v>
      </c>
      <c r="G157" s="11" t="n">
        <v>58.5</v>
      </c>
      <c r="H157" s="11" t="n">
        <v>18.2</v>
      </c>
      <c r="I157" s="12" t="n">
        <v>20</v>
      </c>
      <c r="J157" s="11" t="n">
        <v>149.9</v>
      </c>
      <c r="K157" s="13" t="n">
        <v>76.2</v>
      </c>
      <c r="L157" s="2" t="s">
        <v>72</v>
      </c>
      <c r="M157" s="14" t="n">
        <v>2818</v>
      </c>
      <c r="N157" s="2" t="s">
        <v>80</v>
      </c>
      <c r="O157" s="14" t="n">
        <f aca="false">IFERROR(M157/I157,"")</f>
        <v>140.9</v>
      </c>
    </row>
    <row r="158" customFormat="false" ht="15" hidden="false" customHeight="false" outlineLevel="0" collapsed="false">
      <c r="A158" s="2" t="s">
        <v>393</v>
      </c>
      <c r="B158" s="2" t="s">
        <v>96</v>
      </c>
      <c r="C158" s="2" t="s">
        <v>97</v>
      </c>
      <c r="D158" s="2" t="s">
        <v>77</v>
      </c>
      <c r="E158" s="2" t="s">
        <v>107</v>
      </c>
      <c r="F158" s="2" t="s">
        <v>394</v>
      </c>
      <c r="G158" s="11" t="n">
        <v>24.7</v>
      </c>
      <c r="H158" s="11" t="n">
        <v>31.7</v>
      </c>
      <c r="I158" s="12" t="n">
        <v>17</v>
      </c>
      <c r="J158" s="11" t="n">
        <v>153.9</v>
      </c>
      <c r="K158" s="13" t="n">
        <v>62</v>
      </c>
      <c r="L158" s="2" t="s">
        <v>72</v>
      </c>
      <c r="M158" s="14" t="n">
        <v>16980</v>
      </c>
      <c r="N158" s="2" t="s">
        <v>73</v>
      </c>
      <c r="O158" s="14" t="n">
        <f aca="false">IFERROR(M158/I158,"")</f>
        <v>998.823529411765</v>
      </c>
    </row>
    <row r="159" customFormat="false" ht="15" hidden="false" customHeight="false" outlineLevel="0" collapsed="false">
      <c r="A159" s="2" t="s">
        <v>395</v>
      </c>
      <c r="B159" s="2" t="s">
        <v>89</v>
      </c>
      <c r="C159" s="2" t="s">
        <v>83</v>
      </c>
      <c r="D159" s="2" t="s">
        <v>84</v>
      </c>
      <c r="E159" s="2" t="s">
        <v>107</v>
      </c>
      <c r="F159" s="2" t="s">
        <v>396</v>
      </c>
      <c r="G159" s="11" t="n">
        <v>13.8</v>
      </c>
      <c r="H159" s="11" t="n">
        <v>5.8</v>
      </c>
      <c r="I159" s="12" t="n">
        <v>15</v>
      </c>
      <c r="J159" s="11" t="n">
        <v>35</v>
      </c>
      <c r="K159" s="13" t="n">
        <v>42.2</v>
      </c>
      <c r="L159" s="2" t="s">
        <v>109</v>
      </c>
      <c r="M159" s="14" t="n">
        <v>528</v>
      </c>
      <c r="N159" s="2" t="s">
        <v>73</v>
      </c>
      <c r="O159" s="14" t="n">
        <f aca="false">IFERROR(M159/I159,"")</f>
        <v>35.2</v>
      </c>
    </row>
    <row r="160" customFormat="false" ht="15" hidden="false" customHeight="false" outlineLevel="0" collapsed="false">
      <c r="A160" s="2" t="s">
        <v>397</v>
      </c>
      <c r="B160" s="2" t="s">
        <v>67</v>
      </c>
      <c r="C160" s="2" t="s">
        <v>68</v>
      </c>
      <c r="D160" s="2" t="s">
        <v>77</v>
      </c>
      <c r="E160" s="2" t="s">
        <v>70</v>
      </c>
      <c r="F160" s="2" t="s">
        <v>304</v>
      </c>
      <c r="G160" s="11" t="n">
        <v>54.9</v>
      </c>
      <c r="H160" s="11" t="n">
        <v>14.6</v>
      </c>
      <c r="I160" s="12" t="n">
        <v>29</v>
      </c>
      <c r="J160" s="11" t="n">
        <v>236.1</v>
      </c>
      <c r="K160" s="13" t="n">
        <v>65.4</v>
      </c>
      <c r="L160" s="2" t="s">
        <v>109</v>
      </c>
      <c r="M160" s="14" t="n">
        <v>4936</v>
      </c>
      <c r="N160" s="2" t="s">
        <v>135</v>
      </c>
      <c r="O160" s="14" t="n">
        <f aca="false">IFERROR(M160/I160,"")</f>
        <v>170.206896551724</v>
      </c>
    </row>
    <row r="161" customFormat="false" ht="15" hidden="false" customHeight="false" outlineLevel="0" collapsed="false">
      <c r="A161" s="2" t="s">
        <v>398</v>
      </c>
      <c r="B161" s="2" t="s">
        <v>192</v>
      </c>
      <c r="C161" s="2" t="s">
        <v>126</v>
      </c>
      <c r="D161" s="2" t="s">
        <v>130</v>
      </c>
      <c r="E161" s="2" t="s">
        <v>107</v>
      </c>
      <c r="F161" s="2" t="s">
        <v>399</v>
      </c>
      <c r="G161" s="11" t="n">
        <v>317.4</v>
      </c>
      <c r="H161" s="11" t="n">
        <v>567.4</v>
      </c>
      <c r="I161" s="12" t="n">
        <v>8</v>
      </c>
      <c r="J161" s="11" t="n">
        <v>565.3</v>
      </c>
      <c r="K161" s="13" t="n">
        <v>73.7</v>
      </c>
      <c r="L161" s="2" t="s">
        <v>104</v>
      </c>
      <c r="M161" s="14" t="n">
        <v>195438</v>
      </c>
      <c r="N161" s="2" t="s">
        <v>135</v>
      </c>
      <c r="O161" s="14" t="n">
        <f aca="false">IFERROR(M161/I161,"")</f>
        <v>24429.75</v>
      </c>
    </row>
    <row r="162" customFormat="false" ht="15" hidden="false" customHeight="false" outlineLevel="0" collapsed="false">
      <c r="A162" s="2" t="s">
        <v>400</v>
      </c>
      <c r="B162" s="2" t="s">
        <v>89</v>
      </c>
      <c r="C162" s="2" t="s">
        <v>83</v>
      </c>
      <c r="D162" s="2" t="s">
        <v>77</v>
      </c>
      <c r="E162" s="2" t="s">
        <v>78</v>
      </c>
      <c r="F162" s="2" t="s">
        <v>401</v>
      </c>
      <c r="G162" s="11" t="n">
        <v>13.8</v>
      </c>
      <c r="H162" s="11" t="n">
        <v>10</v>
      </c>
      <c r="I162" s="12" t="n">
        <v>12</v>
      </c>
      <c r="J162" s="11" t="n">
        <v>14.4</v>
      </c>
      <c r="K162" s="13" t="n">
        <v>38</v>
      </c>
      <c r="L162" s="2" t="s">
        <v>109</v>
      </c>
      <c r="M162" s="14" t="n">
        <v>772</v>
      </c>
      <c r="N162" s="2" t="s">
        <v>80</v>
      </c>
      <c r="O162" s="14" t="n">
        <f aca="false">IFERROR(M162/I162,"")</f>
        <v>64.3333333333333</v>
      </c>
    </row>
    <row r="163" customFormat="false" ht="15" hidden="false" customHeight="false" outlineLevel="0" collapsed="false">
      <c r="A163" s="2" t="s">
        <v>402</v>
      </c>
      <c r="B163" s="2" t="s">
        <v>82</v>
      </c>
      <c r="C163" s="2" t="s">
        <v>83</v>
      </c>
      <c r="D163" s="2" t="s">
        <v>77</v>
      </c>
      <c r="E163" s="2" t="s">
        <v>85</v>
      </c>
      <c r="F163" s="2" t="s">
        <v>372</v>
      </c>
      <c r="G163" s="11" t="n">
        <v>13.2</v>
      </c>
      <c r="H163" s="11" t="n">
        <v>9.2</v>
      </c>
      <c r="I163" s="12" t="n">
        <v>11</v>
      </c>
      <c r="J163" s="11" t="n">
        <v>12.8</v>
      </c>
      <c r="K163" s="13" t="n">
        <v>60</v>
      </c>
      <c r="L163" s="2" t="s">
        <v>104</v>
      </c>
      <c r="M163" s="14" t="n">
        <v>726</v>
      </c>
      <c r="N163" s="2" t="s">
        <v>80</v>
      </c>
      <c r="O163" s="14" t="n">
        <f aca="false">IFERROR(M163/I163,"")</f>
        <v>66</v>
      </c>
    </row>
    <row r="164" customFormat="false" ht="15" hidden="false" customHeight="false" outlineLevel="0" collapsed="false">
      <c r="A164" s="2" t="s">
        <v>403</v>
      </c>
      <c r="B164" s="2" t="s">
        <v>93</v>
      </c>
      <c r="C164" s="2" t="s">
        <v>83</v>
      </c>
      <c r="D164" s="2" t="s">
        <v>84</v>
      </c>
      <c r="E164" s="2" t="s">
        <v>78</v>
      </c>
      <c r="F164" s="2" t="s">
        <v>404</v>
      </c>
      <c r="G164" s="11" t="n">
        <v>13.6</v>
      </c>
      <c r="H164" s="11" t="n">
        <v>10.6</v>
      </c>
      <c r="I164" s="12" t="n">
        <v>7</v>
      </c>
      <c r="J164" s="11" t="n">
        <v>23.5</v>
      </c>
      <c r="K164" s="13" t="n">
        <v>50.6</v>
      </c>
      <c r="L164" s="2" t="s">
        <v>72</v>
      </c>
      <c r="M164" s="14" t="n">
        <v>527</v>
      </c>
      <c r="N164" s="2" t="s">
        <v>80</v>
      </c>
      <c r="O164" s="14" t="n">
        <f aca="false">IFERROR(M164/I164,"")</f>
        <v>75.2857142857143</v>
      </c>
    </row>
    <row r="165" customFormat="false" ht="15" hidden="false" customHeight="false" outlineLevel="0" collapsed="false">
      <c r="A165" s="2" t="s">
        <v>405</v>
      </c>
      <c r="B165" s="2" t="s">
        <v>133</v>
      </c>
      <c r="C165" s="2" t="s">
        <v>97</v>
      </c>
      <c r="D165" s="2" t="s">
        <v>77</v>
      </c>
      <c r="E165" s="2" t="s">
        <v>70</v>
      </c>
      <c r="F165" s="2" t="s">
        <v>406</v>
      </c>
      <c r="G165" s="11" t="n">
        <v>24.2</v>
      </c>
      <c r="H165" s="11" t="n">
        <v>28</v>
      </c>
      <c r="I165" s="12" t="n">
        <v>24</v>
      </c>
      <c r="J165" s="11" t="n">
        <v>24.8</v>
      </c>
      <c r="K165" s="13" t="n">
        <v>64.8</v>
      </c>
      <c r="L165" s="2" t="s">
        <v>87</v>
      </c>
      <c r="M165" s="14" t="n">
        <v>10416</v>
      </c>
      <c r="N165" s="2" t="s">
        <v>73</v>
      </c>
      <c r="O165" s="14" t="n">
        <f aca="false">IFERROR(M165/I165,"")</f>
        <v>434</v>
      </c>
    </row>
    <row r="166" customFormat="false" ht="15" hidden="false" customHeight="false" outlineLevel="0" collapsed="false">
      <c r="A166" s="2" t="s">
        <v>407</v>
      </c>
      <c r="B166" s="2" t="s">
        <v>82</v>
      </c>
      <c r="C166" s="2" t="s">
        <v>83</v>
      </c>
      <c r="D166" s="2" t="s">
        <v>77</v>
      </c>
      <c r="E166" s="2" t="s">
        <v>90</v>
      </c>
      <c r="F166" s="2" t="s">
        <v>408</v>
      </c>
      <c r="G166" s="11" t="n">
        <v>14.6</v>
      </c>
      <c r="H166" s="11" t="n">
        <v>6.4</v>
      </c>
      <c r="I166" s="12" t="n">
        <v>26</v>
      </c>
      <c r="J166" s="11" t="n">
        <v>106.9</v>
      </c>
      <c r="K166" s="13" t="n">
        <v>59.6</v>
      </c>
      <c r="L166" s="2" t="s">
        <v>104</v>
      </c>
      <c r="M166" s="14" t="n">
        <v>764</v>
      </c>
      <c r="N166" s="2" t="s">
        <v>80</v>
      </c>
      <c r="O166" s="14" t="n">
        <f aca="false">IFERROR(M166/I166,"")</f>
        <v>29.3846153846154</v>
      </c>
    </row>
    <row r="167" customFormat="false" ht="15" hidden="false" customHeight="false" outlineLevel="0" collapsed="false">
      <c r="A167" s="2" t="s">
        <v>409</v>
      </c>
      <c r="B167" s="2" t="s">
        <v>106</v>
      </c>
      <c r="C167" s="2" t="s">
        <v>68</v>
      </c>
      <c r="D167" s="2" t="s">
        <v>77</v>
      </c>
      <c r="E167" s="2" t="s">
        <v>78</v>
      </c>
      <c r="F167" s="2" t="s">
        <v>410</v>
      </c>
      <c r="G167" s="11" t="n">
        <v>51.3</v>
      </c>
      <c r="H167" s="11" t="n">
        <v>19.6</v>
      </c>
      <c r="I167" s="12" t="n">
        <v>2</v>
      </c>
      <c r="J167" s="11" t="n">
        <v>11.3</v>
      </c>
      <c r="K167" s="13" t="n">
        <v>69.7</v>
      </c>
      <c r="L167" s="2" t="s">
        <v>109</v>
      </c>
      <c r="M167" s="14" t="n">
        <v>4292</v>
      </c>
      <c r="N167" s="2" t="s">
        <v>135</v>
      </c>
      <c r="O167" s="14" t="n">
        <f aca="false">IFERROR(M167/I167,"")</f>
        <v>2146</v>
      </c>
    </row>
    <row r="168" customFormat="false" ht="15" hidden="false" customHeight="false" outlineLevel="0" collapsed="false">
      <c r="A168" s="2" t="s">
        <v>411</v>
      </c>
      <c r="B168" s="2" t="s">
        <v>119</v>
      </c>
      <c r="C168" s="2" t="s">
        <v>102</v>
      </c>
      <c r="D168" s="2" t="s">
        <v>77</v>
      </c>
      <c r="E168" s="2" t="s">
        <v>70</v>
      </c>
      <c r="F168" s="2" t="s">
        <v>314</v>
      </c>
      <c r="G168" s="11" t="n">
        <v>31.8</v>
      </c>
      <c r="H168" s="11" t="n">
        <v>32</v>
      </c>
      <c r="I168" s="12" t="n">
        <v>8</v>
      </c>
      <c r="J168" s="11" t="n">
        <v>25.2</v>
      </c>
      <c r="K168" s="13" t="n">
        <v>82.5</v>
      </c>
      <c r="L168" s="2" t="s">
        <v>104</v>
      </c>
      <c r="M168" s="14" t="n">
        <v>9191</v>
      </c>
      <c r="N168" s="2" t="s">
        <v>73</v>
      </c>
      <c r="O168" s="14" t="n">
        <f aca="false">IFERROR(M168/I168,"")</f>
        <v>1148.875</v>
      </c>
    </row>
    <row r="169" customFormat="false" ht="15" hidden="false" customHeight="false" outlineLevel="0" collapsed="false">
      <c r="A169" s="2" t="s">
        <v>412</v>
      </c>
      <c r="B169" s="2" t="s">
        <v>67</v>
      </c>
      <c r="C169" s="2" t="s">
        <v>68</v>
      </c>
      <c r="D169" s="2" t="s">
        <v>84</v>
      </c>
      <c r="E169" s="2" t="s">
        <v>107</v>
      </c>
      <c r="F169" s="2" t="s">
        <v>195</v>
      </c>
      <c r="G169" s="11" t="n">
        <v>68.8</v>
      </c>
      <c r="H169" s="11" t="n">
        <v>18.5</v>
      </c>
      <c r="I169" s="12" t="n">
        <v>3</v>
      </c>
      <c r="J169" s="11" t="n">
        <v>15.9</v>
      </c>
      <c r="K169" s="13" t="n">
        <v>75.4</v>
      </c>
      <c r="L169" s="2" t="s">
        <v>72</v>
      </c>
      <c r="M169" s="14" t="n">
        <v>3509</v>
      </c>
      <c r="N169" s="2" t="s">
        <v>73</v>
      </c>
      <c r="O169" s="14" t="n">
        <f aca="false">IFERROR(M169/I169,"")</f>
        <v>1169.66666666667</v>
      </c>
    </row>
    <row r="170" customFormat="false" ht="15" hidden="false" customHeight="false" outlineLevel="0" collapsed="false">
      <c r="A170" s="2" t="s">
        <v>413</v>
      </c>
      <c r="B170" s="2" t="s">
        <v>106</v>
      </c>
      <c r="C170" s="2" t="s">
        <v>68</v>
      </c>
      <c r="D170" s="2" t="s">
        <v>127</v>
      </c>
      <c r="E170" s="2" t="s">
        <v>85</v>
      </c>
      <c r="F170" s="2" t="s">
        <v>326</v>
      </c>
      <c r="G170" s="11" t="n">
        <v>51.6</v>
      </c>
      <c r="H170" s="11" t="n">
        <v>16.3</v>
      </c>
      <c r="I170" s="12" t="n">
        <v>17</v>
      </c>
      <c r="J170" s="11" t="n">
        <v>36.7</v>
      </c>
      <c r="K170" s="13" t="n">
        <v>84.2</v>
      </c>
      <c r="L170" s="2" t="s">
        <v>87</v>
      </c>
      <c r="M170" s="14" t="n">
        <v>3572</v>
      </c>
      <c r="N170" s="2" t="s">
        <v>73</v>
      </c>
      <c r="O170" s="14" t="n">
        <f aca="false">IFERROR(M170/I170,"")</f>
        <v>210.117647058824</v>
      </c>
    </row>
    <row r="171" customFormat="false" ht="15" hidden="false" customHeight="false" outlineLevel="0" collapsed="false">
      <c r="A171" s="2" t="s">
        <v>414</v>
      </c>
      <c r="B171" s="2" t="s">
        <v>93</v>
      </c>
      <c r="C171" s="2" t="s">
        <v>83</v>
      </c>
      <c r="D171" s="2" t="s">
        <v>84</v>
      </c>
      <c r="E171" s="2" t="s">
        <v>78</v>
      </c>
      <c r="F171" s="2" t="s">
        <v>415</v>
      </c>
      <c r="G171" s="11" t="n">
        <v>11.2</v>
      </c>
      <c r="H171" s="11" t="n">
        <v>10.2</v>
      </c>
      <c r="I171" s="12" t="n">
        <v>23</v>
      </c>
      <c r="J171" s="11" t="n">
        <v>34.3</v>
      </c>
      <c r="K171" s="13" t="n">
        <v>50.6</v>
      </c>
      <c r="L171" s="2" t="s">
        <v>104</v>
      </c>
      <c r="M171" s="14" t="n">
        <v>678</v>
      </c>
      <c r="N171" s="2" t="s">
        <v>80</v>
      </c>
      <c r="O171" s="14" t="n">
        <f aca="false">IFERROR(M171/I171,"")</f>
        <v>29.4782608695652</v>
      </c>
    </row>
    <row r="172" customFormat="false" ht="15" hidden="false" customHeight="false" outlineLevel="0" collapsed="false">
      <c r="A172" s="2" t="s">
        <v>416</v>
      </c>
      <c r="B172" s="2" t="s">
        <v>106</v>
      </c>
      <c r="C172" s="2" t="s">
        <v>68</v>
      </c>
      <c r="D172" s="2" t="s">
        <v>77</v>
      </c>
      <c r="E172" s="2" t="s">
        <v>78</v>
      </c>
      <c r="F172" s="2" t="s">
        <v>417</v>
      </c>
      <c r="G172" s="11" t="n">
        <v>63.9</v>
      </c>
      <c r="H172" s="11" t="n">
        <v>22</v>
      </c>
      <c r="I172" s="12" t="n">
        <v>13</v>
      </c>
      <c r="J172" s="11" t="n">
        <v>180.8</v>
      </c>
      <c r="K172" s="13" t="n">
        <v>73.1</v>
      </c>
      <c r="L172" s="2" t="s">
        <v>109</v>
      </c>
      <c r="M172" s="14" t="n">
        <v>2633</v>
      </c>
      <c r="N172" s="2" t="s">
        <v>73</v>
      </c>
      <c r="O172" s="14" t="n">
        <f aca="false">IFERROR(M172/I172,"")</f>
        <v>202.538461538462</v>
      </c>
    </row>
    <row r="173" customFormat="false" ht="15" hidden="false" customHeight="false" outlineLevel="0" collapsed="false">
      <c r="A173" s="2" t="s">
        <v>418</v>
      </c>
      <c r="B173" s="2" t="s">
        <v>93</v>
      </c>
      <c r="C173" s="2" t="s">
        <v>83</v>
      </c>
      <c r="D173" s="2" t="s">
        <v>122</v>
      </c>
      <c r="E173" s="2" t="s">
        <v>70</v>
      </c>
      <c r="F173" s="2" t="s">
        <v>419</v>
      </c>
      <c r="G173" s="11" t="n">
        <v>16.6</v>
      </c>
      <c r="H173" s="11" t="n">
        <v>7.2</v>
      </c>
      <c r="I173" s="12" t="n">
        <v>5</v>
      </c>
      <c r="J173" s="11" t="n">
        <v>7.5</v>
      </c>
      <c r="K173" s="13" t="n">
        <v>46.7</v>
      </c>
      <c r="L173" s="2" t="s">
        <v>72</v>
      </c>
      <c r="M173" s="14" t="n">
        <v>659</v>
      </c>
      <c r="N173" s="2" t="s">
        <v>80</v>
      </c>
      <c r="O173" s="14" t="n">
        <f aca="false">IFERROR(M173/I173,"")</f>
        <v>131.8</v>
      </c>
    </row>
    <row r="174" customFormat="false" ht="15" hidden="false" customHeight="false" outlineLevel="0" collapsed="false">
      <c r="A174" s="2" t="s">
        <v>420</v>
      </c>
      <c r="B174" s="2" t="s">
        <v>75</v>
      </c>
      <c r="C174" s="2" t="s">
        <v>76</v>
      </c>
      <c r="D174" s="2" t="s">
        <v>84</v>
      </c>
      <c r="E174" s="2" t="s">
        <v>90</v>
      </c>
      <c r="F174" s="2" t="s">
        <v>421</v>
      </c>
      <c r="G174" s="11" t="n">
        <v>35.9</v>
      </c>
      <c r="H174" s="11" t="n">
        <v>20.7</v>
      </c>
      <c r="I174" s="12" t="n">
        <v>17</v>
      </c>
      <c r="J174" s="11" t="n">
        <v>51.8</v>
      </c>
      <c r="K174" s="13" t="n">
        <v>60</v>
      </c>
      <c r="L174" s="2" t="s">
        <v>72</v>
      </c>
      <c r="M174" s="14" t="n">
        <v>22065</v>
      </c>
      <c r="N174" s="2" t="s">
        <v>73</v>
      </c>
      <c r="O174" s="14" t="n">
        <f aca="false">IFERROR(M174/I174,"")</f>
        <v>1297.94117647059</v>
      </c>
    </row>
    <row r="175" customFormat="false" ht="15" hidden="false" customHeight="false" outlineLevel="0" collapsed="false">
      <c r="A175" s="2" t="s">
        <v>422</v>
      </c>
      <c r="B175" s="2" t="s">
        <v>119</v>
      </c>
      <c r="C175" s="2" t="s">
        <v>102</v>
      </c>
      <c r="D175" s="2" t="s">
        <v>84</v>
      </c>
      <c r="E175" s="2" t="s">
        <v>85</v>
      </c>
      <c r="F175" s="2" t="s">
        <v>423</v>
      </c>
      <c r="G175" s="11" t="n">
        <v>33.5</v>
      </c>
      <c r="H175" s="11" t="n">
        <v>28.9</v>
      </c>
      <c r="I175" s="12" t="n">
        <v>24</v>
      </c>
      <c r="J175" s="11" t="n">
        <v>35.4</v>
      </c>
      <c r="K175" s="13" t="n">
        <v>95.5</v>
      </c>
      <c r="L175" s="2" t="s">
        <v>87</v>
      </c>
      <c r="M175" s="14" t="n">
        <v>5722</v>
      </c>
      <c r="N175" s="2" t="s">
        <v>73</v>
      </c>
      <c r="O175" s="14" t="n">
        <f aca="false">IFERROR(M175/I175,"")</f>
        <v>238.416666666667</v>
      </c>
    </row>
    <row r="176" customFormat="false" ht="15" hidden="false" customHeight="false" outlineLevel="0" collapsed="false">
      <c r="A176" s="2" t="s">
        <v>424</v>
      </c>
      <c r="B176" s="2" t="s">
        <v>101</v>
      </c>
      <c r="C176" s="2" t="s">
        <v>102</v>
      </c>
      <c r="D176" s="2" t="s">
        <v>127</v>
      </c>
      <c r="E176" s="2" t="s">
        <v>70</v>
      </c>
      <c r="F176" s="2" t="s">
        <v>425</v>
      </c>
      <c r="G176" s="11" t="n">
        <v>34.8</v>
      </c>
      <c r="H176" s="11" t="n">
        <v>25.9</v>
      </c>
      <c r="I176" s="12" t="n">
        <v>17</v>
      </c>
      <c r="J176" s="11" t="n">
        <v>97.1</v>
      </c>
      <c r="K176" s="13" t="n">
        <v>73.3</v>
      </c>
      <c r="L176" s="2" t="s">
        <v>72</v>
      </c>
      <c r="M176" s="14" t="n">
        <v>4276</v>
      </c>
      <c r="N176" s="2" t="s">
        <v>73</v>
      </c>
      <c r="O176" s="14" t="n">
        <f aca="false">IFERROR(M176/I176,"")</f>
        <v>251.529411764706</v>
      </c>
    </row>
    <row r="177" customFormat="false" ht="15" hidden="false" customHeight="false" outlineLevel="0" collapsed="false">
      <c r="A177" s="2" t="s">
        <v>426</v>
      </c>
      <c r="B177" s="2" t="s">
        <v>165</v>
      </c>
      <c r="C177" s="2" t="s">
        <v>68</v>
      </c>
      <c r="D177" s="2" t="s">
        <v>69</v>
      </c>
      <c r="E177" s="2" t="s">
        <v>116</v>
      </c>
      <c r="F177" s="2" t="s">
        <v>427</v>
      </c>
      <c r="G177" s="11" t="n">
        <v>51.4</v>
      </c>
      <c r="H177" s="11" t="n">
        <v>15.6</v>
      </c>
      <c r="I177" s="12" t="n">
        <v>8</v>
      </c>
      <c r="J177" s="11" t="n">
        <v>67.6</v>
      </c>
      <c r="K177" s="13" t="n">
        <v>72.9</v>
      </c>
      <c r="L177" s="2" t="s">
        <v>72</v>
      </c>
      <c r="M177" s="14" t="n">
        <v>3341</v>
      </c>
      <c r="N177" s="2" t="s">
        <v>73</v>
      </c>
      <c r="O177" s="14" t="n">
        <f aca="false">IFERROR(M177/I177,"")</f>
        <v>417.625</v>
      </c>
    </row>
    <row r="178" customFormat="false" ht="15" hidden="false" customHeight="false" outlineLevel="0" collapsed="false">
      <c r="A178" s="2" t="s">
        <v>428</v>
      </c>
      <c r="B178" s="2" t="s">
        <v>133</v>
      </c>
      <c r="C178" s="2" t="s">
        <v>97</v>
      </c>
      <c r="D178" s="2" t="s">
        <v>77</v>
      </c>
      <c r="E178" s="2" t="s">
        <v>90</v>
      </c>
      <c r="F178" s="2" t="s">
        <v>151</v>
      </c>
      <c r="G178" s="11" t="n">
        <v>22.3</v>
      </c>
      <c r="H178" s="11" t="n">
        <v>33.2</v>
      </c>
      <c r="I178" s="12" t="n">
        <v>4</v>
      </c>
      <c r="J178" s="11" t="n">
        <v>5.3</v>
      </c>
      <c r="K178" s="13" t="n">
        <v>58.2</v>
      </c>
      <c r="L178" s="2" t="s">
        <v>104</v>
      </c>
      <c r="M178" s="14" t="n">
        <v>8722</v>
      </c>
      <c r="N178" s="2" t="s">
        <v>80</v>
      </c>
      <c r="O178" s="14" t="n">
        <f aca="false">IFERROR(M178/I178,"")</f>
        <v>2180.5</v>
      </c>
    </row>
    <row r="179" customFormat="false" ht="15" hidden="false" customHeight="false" outlineLevel="0" collapsed="false">
      <c r="A179" s="2" t="s">
        <v>429</v>
      </c>
      <c r="B179" s="2" t="s">
        <v>106</v>
      </c>
      <c r="C179" s="2" t="s">
        <v>68</v>
      </c>
      <c r="D179" s="2" t="s">
        <v>77</v>
      </c>
      <c r="E179" s="2" t="s">
        <v>116</v>
      </c>
      <c r="F179" s="2" t="s">
        <v>430</v>
      </c>
      <c r="G179" s="11" t="n">
        <v>46.1</v>
      </c>
      <c r="H179" s="11" t="n">
        <v>15.4</v>
      </c>
      <c r="I179" s="12" t="n">
        <v>4</v>
      </c>
      <c r="J179" s="11" t="n">
        <v>19.8</v>
      </c>
      <c r="K179" s="13" t="n">
        <v>90.9</v>
      </c>
      <c r="L179" s="2" t="s">
        <v>104</v>
      </c>
      <c r="M179" s="14" t="n">
        <v>1982</v>
      </c>
      <c r="N179" s="2" t="s">
        <v>73</v>
      </c>
      <c r="O179" s="14" t="n">
        <f aca="false">IFERROR(M179/I179,"")</f>
        <v>495.5</v>
      </c>
    </row>
    <row r="180" customFormat="false" ht="15" hidden="false" customHeight="false" outlineLevel="0" collapsed="false">
      <c r="A180" s="2" t="s">
        <v>431</v>
      </c>
      <c r="B180" s="2" t="s">
        <v>133</v>
      </c>
      <c r="C180" s="2" t="s">
        <v>97</v>
      </c>
      <c r="D180" s="2" t="s">
        <v>127</v>
      </c>
      <c r="E180" s="2" t="s">
        <v>85</v>
      </c>
      <c r="F180" s="2" t="s">
        <v>216</v>
      </c>
      <c r="G180" s="11" t="n">
        <v>36.1</v>
      </c>
      <c r="H180" s="11" t="n">
        <v>26.7</v>
      </c>
      <c r="I180" s="12" t="n">
        <v>14</v>
      </c>
      <c r="J180" s="11" t="n">
        <v>100.7</v>
      </c>
      <c r="K180" s="13" t="n">
        <v>65.1</v>
      </c>
      <c r="L180" s="2" t="s">
        <v>87</v>
      </c>
      <c r="M180" s="14" t="n">
        <v>9527</v>
      </c>
      <c r="N180" s="2" t="s">
        <v>80</v>
      </c>
      <c r="O180" s="14" t="n">
        <f aca="false">IFERROR(M180/I180,"")</f>
        <v>680.5</v>
      </c>
    </row>
    <row r="181" customFormat="false" ht="15" hidden="false" customHeight="false" outlineLevel="0" collapsed="false">
      <c r="A181" s="2" t="s">
        <v>432</v>
      </c>
      <c r="B181" s="2" t="s">
        <v>93</v>
      </c>
      <c r="C181" s="2" t="s">
        <v>83</v>
      </c>
      <c r="D181" s="2" t="s">
        <v>77</v>
      </c>
      <c r="E181" s="2" t="s">
        <v>85</v>
      </c>
      <c r="F181" s="2" t="s">
        <v>433</v>
      </c>
      <c r="G181" s="11" t="n">
        <v>12.7</v>
      </c>
      <c r="H181" s="11" t="n">
        <v>9.4</v>
      </c>
      <c r="I181" s="12" t="n">
        <v>20</v>
      </c>
      <c r="J181" s="11" t="n">
        <v>76.5</v>
      </c>
      <c r="K181" s="13" t="n">
        <v>50.9</v>
      </c>
      <c r="L181" s="2" t="s">
        <v>72</v>
      </c>
      <c r="M181" s="14" t="n">
        <v>674</v>
      </c>
      <c r="N181" s="2" t="s">
        <v>80</v>
      </c>
      <c r="O181" s="14" t="n">
        <f aca="false">IFERROR(M181/I181,"")</f>
        <v>33.7</v>
      </c>
    </row>
    <row r="182" customFormat="false" ht="15" hidden="false" customHeight="false" outlineLevel="0" collapsed="false">
      <c r="A182" s="2" t="s">
        <v>434</v>
      </c>
      <c r="B182" s="2" t="s">
        <v>125</v>
      </c>
      <c r="C182" s="2" t="s">
        <v>126</v>
      </c>
      <c r="D182" s="2" t="s">
        <v>77</v>
      </c>
      <c r="E182" s="2" t="s">
        <v>78</v>
      </c>
      <c r="F182" s="2" t="s">
        <v>435</v>
      </c>
      <c r="G182" s="11" t="n">
        <v>384.4</v>
      </c>
      <c r="H182" s="11" t="n">
        <v>473.2</v>
      </c>
      <c r="I182" s="12" t="n">
        <v>6</v>
      </c>
      <c r="J182" s="11" t="n">
        <v>263.6</v>
      </c>
      <c r="K182" s="13" t="n">
        <v>61.3</v>
      </c>
      <c r="L182" s="2" t="s">
        <v>109</v>
      </c>
      <c r="M182" s="14" t="n">
        <v>178656</v>
      </c>
      <c r="N182" s="2" t="s">
        <v>73</v>
      </c>
      <c r="O182" s="14" t="n">
        <f aca="false">IFERROR(M182/I182,"")</f>
        <v>29776</v>
      </c>
    </row>
    <row r="183" customFormat="false" ht="15" hidden="false" customHeight="false" outlineLevel="0" collapsed="false">
      <c r="A183" s="2" t="s">
        <v>436</v>
      </c>
      <c r="B183" s="2" t="s">
        <v>125</v>
      </c>
      <c r="C183" s="2" t="s">
        <v>126</v>
      </c>
      <c r="D183" s="2" t="s">
        <v>69</v>
      </c>
      <c r="E183" s="2" t="s">
        <v>85</v>
      </c>
      <c r="F183" s="2" t="s">
        <v>437</v>
      </c>
      <c r="G183" s="11" t="n">
        <v>461.1</v>
      </c>
      <c r="H183" s="11" t="n">
        <v>585.6</v>
      </c>
      <c r="I183" s="12" t="n">
        <v>14</v>
      </c>
      <c r="J183" s="11" t="n">
        <v>940.8</v>
      </c>
      <c r="K183" s="13" t="n">
        <v>67.8</v>
      </c>
      <c r="L183" s="2" t="s">
        <v>104</v>
      </c>
      <c r="M183" s="14" t="n">
        <v>182782</v>
      </c>
      <c r="N183" s="2" t="s">
        <v>73</v>
      </c>
      <c r="O183" s="14" t="n">
        <f aca="false">IFERROR(M183/I183,"")</f>
        <v>13055.8571428571</v>
      </c>
    </row>
    <row r="184" customFormat="false" ht="15" hidden="false" customHeight="false" outlineLevel="0" collapsed="false">
      <c r="A184" s="2" t="s">
        <v>438</v>
      </c>
      <c r="B184" s="2" t="s">
        <v>96</v>
      </c>
      <c r="C184" s="2" t="s">
        <v>97</v>
      </c>
      <c r="D184" s="2" t="s">
        <v>77</v>
      </c>
      <c r="E184" s="2" t="s">
        <v>90</v>
      </c>
      <c r="F184" s="2" t="s">
        <v>439</v>
      </c>
      <c r="G184" s="11" t="n">
        <v>25.8</v>
      </c>
      <c r="H184" s="11" t="n">
        <v>29.6</v>
      </c>
      <c r="I184" s="12" t="n">
        <v>6</v>
      </c>
      <c r="J184" s="11" t="n">
        <v>42.2</v>
      </c>
      <c r="K184" s="13" t="n">
        <v>56.9</v>
      </c>
      <c r="L184" s="2" t="s">
        <v>72</v>
      </c>
      <c r="M184" s="14" t="n">
        <v>18422</v>
      </c>
      <c r="N184" s="2" t="s">
        <v>80</v>
      </c>
      <c r="O184" s="14" t="n">
        <f aca="false">IFERROR(M184/I184,"")</f>
        <v>3070.33333333333</v>
      </c>
    </row>
    <row r="185" customFormat="false" ht="15" hidden="false" customHeight="false" outlineLevel="0" collapsed="false">
      <c r="A185" s="2" t="s">
        <v>440</v>
      </c>
      <c r="B185" s="2" t="s">
        <v>101</v>
      </c>
      <c r="C185" s="2" t="s">
        <v>102</v>
      </c>
      <c r="D185" s="2" t="s">
        <v>84</v>
      </c>
      <c r="E185" s="2" t="s">
        <v>78</v>
      </c>
      <c r="F185" s="2" t="s">
        <v>441</v>
      </c>
      <c r="G185" s="11" t="n">
        <v>32.2</v>
      </c>
      <c r="H185" s="11" t="n">
        <v>26.6</v>
      </c>
      <c r="I185" s="12" t="n">
        <v>14</v>
      </c>
      <c r="J185" s="11" t="n">
        <v>46.2</v>
      </c>
      <c r="K185" s="13" t="n">
        <v>90.2</v>
      </c>
      <c r="L185" s="2" t="s">
        <v>104</v>
      </c>
      <c r="M185" s="14" t="n">
        <v>9330</v>
      </c>
      <c r="N185" s="2" t="s">
        <v>73</v>
      </c>
      <c r="O185" s="14" t="n">
        <f aca="false">IFERROR(M185/I185,"")</f>
        <v>666.428571428571</v>
      </c>
    </row>
    <row r="186" customFormat="false" ht="15" hidden="false" customHeight="false" outlineLevel="0" collapsed="false">
      <c r="A186" s="2" t="s">
        <v>442</v>
      </c>
      <c r="B186" s="2" t="s">
        <v>89</v>
      </c>
      <c r="C186" s="2" t="s">
        <v>83</v>
      </c>
      <c r="D186" s="2" t="s">
        <v>77</v>
      </c>
      <c r="E186" s="2" t="s">
        <v>78</v>
      </c>
      <c r="F186" s="2" t="s">
        <v>443</v>
      </c>
      <c r="G186" s="11" t="n">
        <v>11.8</v>
      </c>
      <c r="H186" s="11" t="n">
        <v>8.4</v>
      </c>
      <c r="I186" s="12" t="n">
        <v>39</v>
      </c>
      <c r="J186" s="11" t="n">
        <v>12.7</v>
      </c>
      <c r="K186" s="13" t="n">
        <v>58.5</v>
      </c>
      <c r="L186" s="2" t="s">
        <v>72</v>
      </c>
      <c r="M186" s="14" t="n">
        <v>837</v>
      </c>
      <c r="N186" s="2" t="s">
        <v>135</v>
      </c>
      <c r="O186" s="14" t="n">
        <f aca="false">IFERROR(M186/I186,"")</f>
        <v>21.4615384615385</v>
      </c>
    </row>
    <row r="187" customFormat="false" ht="15" hidden="false" customHeight="false" outlineLevel="0" collapsed="false">
      <c r="A187" s="2" t="s">
        <v>444</v>
      </c>
      <c r="B187" s="2" t="s">
        <v>75</v>
      </c>
      <c r="C187" s="2" t="s">
        <v>76</v>
      </c>
      <c r="D187" s="2" t="s">
        <v>69</v>
      </c>
      <c r="E187" s="2" t="s">
        <v>78</v>
      </c>
      <c r="F187" s="2" t="s">
        <v>445</v>
      </c>
      <c r="G187" s="11" t="n">
        <v>44.7</v>
      </c>
      <c r="H187" s="11" t="n">
        <v>21</v>
      </c>
      <c r="I187" s="12" t="n">
        <v>11</v>
      </c>
      <c r="J187" s="11" t="n">
        <v>35.4</v>
      </c>
      <c r="K187" s="13" t="n">
        <v>62</v>
      </c>
      <c r="L187" s="2" t="s">
        <v>72</v>
      </c>
      <c r="M187" s="14" t="n">
        <v>22798</v>
      </c>
      <c r="N187" s="2" t="s">
        <v>73</v>
      </c>
      <c r="O187" s="14" t="n">
        <f aca="false">IFERROR(M187/I187,"")</f>
        <v>2072.54545454545</v>
      </c>
    </row>
    <row r="188" customFormat="false" ht="15" hidden="false" customHeight="false" outlineLevel="0" collapsed="false">
      <c r="A188" s="2" t="s">
        <v>446</v>
      </c>
      <c r="B188" s="2" t="s">
        <v>125</v>
      </c>
      <c r="C188" s="2" t="s">
        <v>126</v>
      </c>
      <c r="D188" s="2" t="s">
        <v>122</v>
      </c>
      <c r="E188" s="2" t="s">
        <v>70</v>
      </c>
      <c r="F188" s="2" t="s">
        <v>447</v>
      </c>
      <c r="G188" s="11" t="n">
        <v>427.4</v>
      </c>
      <c r="H188" s="11" t="n">
        <v>448.6</v>
      </c>
      <c r="I188" s="12" t="n">
        <v>22</v>
      </c>
      <c r="J188" s="11" t="n">
        <v>483</v>
      </c>
      <c r="K188" s="13" t="n">
        <v>71</v>
      </c>
      <c r="L188" s="2" t="s">
        <v>72</v>
      </c>
      <c r="M188" s="14" t="n">
        <v>215916</v>
      </c>
      <c r="N188" s="2" t="s">
        <v>73</v>
      </c>
      <c r="O188" s="14" t="n">
        <f aca="false">IFERROR(M188/I188,"")</f>
        <v>9814.36363636364</v>
      </c>
    </row>
    <row r="189" customFormat="false" ht="15" hidden="false" customHeight="false" outlineLevel="0" collapsed="false">
      <c r="A189" s="2" t="s">
        <v>448</v>
      </c>
      <c r="B189" s="2" t="s">
        <v>106</v>
      </c>
      <c r="C189" s="2" t="s">
        <v>68</v>
      </c>
      <c r="D189" s="2" t="s">
        <v>69</v>
      </c>
      <c r="E189" s="2" t="s">
        <v>78</v>
      </c>
      <c r="F189" s="2" t="s">
        <v>449</v>
      </c>
      <c r="G189" s="11" t="n">
        <v>63</v>
      </c>
      <c r="H189" s="11" t="n">
        <v>18.5</v>
      </c>
      <c r="I189" s="12" t="n">
        <v>19</v>
      </c>
      <c r="J189" s="11" t="n">
        <v>35.6</v>
      </c>
      <c r="K189" s="13" t="n">
        <v>87.6</v>
      </c>
      <c r="L189" s="2" t="s">
        <v>104</v>
      </c>
      <c r="M189" s="14" t="n">
        <v>4524</v>
      </c>
      <c r="N189" s="2" t="s">
        <v>138</v>
      </c>
      <c r="O189" s="14" t="n">
        <f aca="false">IFERROR(M189/I189,"")</f>
        <v>238.105263157895</v>
      </c>
    </row>
    <row r="190" customFormat="false" ht="15" hidden="false" customHeight="false" outlineLevel="0" collapsed="false">
      <c r="A190" s="2" t="s">
        <v>450</v>
      </c>
      <c r="B190" s="2" t="s">
        <v>75</v>
      </c>
      <c r="C190" s="2" t="s">
        <v>76</v>
      </c>
      <c r="D190" s="2" t="s">
        <v>77</v>
      </c>
      <c r="E190" s="2" t="s">
        <v>107</v>
      </c>
      <c r="F190" s="2" t="s">
        <v>451</v>
      </c>
      <c r="G190" s="11" t="n">
        <v>39</v>
      </c>
      <c r="H190" s="11" t="n">
        <v>20.3</v>
      </c>
      <c r="I190" s="12" t="n">
        <v>17</v>
      </c>
      <c r="J190" s="11" t="n">
        <v>157.2</v>
      </c>
      <c r="K190" s="13" t="n">
        <v>74.4</v>
      </c>
      <c r="L190" s="2" t="s">
        <v>87</v>
      </c>
      <c r="M190" s="14" t="n">
        <v>30149</v>
      </c>
      <c r="N190" s="2" t="s">
        <v>80</v>
      </c>
      <c r="O190" s="14" t="n">
        <f aca="false">IFERROR(M190/I190,"")</f>
        <v>1773.47058823529</v>
      </c>
    </row>
    <row r="191" customFormat="false" ht="15" hidden="false" customHeight="false" outlineLevel="0" collapsed="false">
      <c r="A191" s="2" t="s">
        <v>452</v>
      </c>
      <c r="B191" s="2" t="s">
        <v>89</v>
      </c>
      <c r="C191" s="2" t="s">
        <v>83</v>
      </c>
      <c r="D191" s="2" t="s">
        <v>77</v>
      </c>
      <c r="E191" s="2" t="s">
        <v>78</v>
      </c>
      <c r="F191" s="2" t="s">
        <v>453</v>
      </c>
      <c r="G191" s="11" t="n">
        <v>16.4</v>
      </c>
      <c r="H191" s="11" t="n">
        <v>7.8</v>
      </c>
      <c r="I191" s="12" t="n">
        <v>27</v>
      </c>
      <c r="J191" s="11" t="n">
        <v>33.8</v>
      </c>
      <c r="K191" s="13" t="n">
        <v>60.6</v>
      </c>
      <c r="L191" s="2" t="s">
        <v>72</v>
      </c>
      <c r="M191" s="14" t="n">
        <v>624</v>
      </c>
      <c r="N191" s="2" t="s">
        <v>73</v>
      </c>
      <c r="O191" s="14" t="n">
        <f aca="false">IFERROR(M191/I191,"")</f>
        <v>23.1111111111111</v>
      </c>
    </row>
    <row r="192" customFormat="false" ht="15" hidden="false" customHeight="false" outlineLevel="0" collapsed="false">
      <c r="A192" s="2" t="s">
        <v>454</v>
      </c>
      <c r="B192" s="2" t="s">
        <v>165</v>
      </c>
      <c r="C192" s="2" t="s">
        <v>68</v>
      </c>
      <c r="D192" s="2" t="s">
        <v>127</v>
      </c>
      <c r="E192" s="2" t="s">
        <v>78</v>
      </c>
      <c r="F192" s="2" t="s">
        <v>455</v>
      </c>
      <c r="G192" s="11" t="n">
        <v>55.6</v>
      </c>
      <c r="H192" s="11" t="n">
        <v>19.1</v>
      </c>
      <c r="I192" s="12" t="n">
        <v>15</v>
      </c>
      <c r="J192" s="11" t="n">
        <v>32.6</v>
      </c>
      <c r="K192" s="13" t="n">
        <v>86.8</v>
      </c>
      <c r="L192" s="2" t="s">
        <v>72</v>
      </c>
      <c r="M192" s="14" t="n">
        <v>2719</v>
      </c>
      <c r="N192" s="2" t="s">
        <v>73</v>
      </c>
      <c r="O192" s="14" t="n">
        <f aca="false">IFERROR(M192/I192,"")</f>
        <v>181.266666666667</v>
      </c>
    </row>
    <row r="193" customFormat="false" ht="15" hidden="false" customHeight="false" outlineLevel="0" collapsed="false">
      <c r="A193" s="2" t="s">
        <v>456</v>
      </c>
      <c r="B193" s="2" t="s">
        <v>89</v>
      </c>
      <c r="C193" s="2" t="s">
        <v>83</v>
      </c>
      <c r="D193" s="2" t="s">
        <v>130</v>
      </c>
      <c r="E193" s="2" t="s">
        <v>78</v>
      </c>
      <c r="F193" s="2" t="s">
        <v>457</v>
      </c>
      <c r="G193" s="11" t="n">
        <v>12.8</v>
      </c>
      <c r="H193" s="11" t="n">
        <v>10.2</v>
      </c>
      <c r="I193" s="12" t="n">
        <v>25</v>
      </c>
      <c r="J193" s="11" t="n">
        <v>88.8</v>
      </c>
      <c r="K193" s="13" t="n">
        <v>50.4</v>
      </c>
      <c r="L193" s="2" t="s">
        <v>109</v>
      </c>
      <c r="M193" s="14" t="n">
        <v>657</v>
      </c>
      <c r="N193" s="2" t="s">
        <v>80</v>
      </c>
      <c r="O193" s="14" t="n">
        <f aca="false">IFERROR(M193/I193,"")</f>
        <v>26.28</v>
      </c>
    </row>
    <row r="194" customFormat="false" ht="15" hidden="false" customHeight="false" outlineLevel="0" collapsed="false">
      <c r="A194" s="2" t="s">
        <v>458</v>
      </c>
      <c r="B194" s="2" t="s">
        <v>89</v>
      </c>
      <c r="C194" s="2" t="s">
        <v>83</v>
      </c>
      <c r="D194" s="2" t="s">
        <v>69</v>
      </c>
      <c r="E194" s="2" t="s">
        <v>78</v>
      </c>
      <c r="F194" s="2" t="s">
        <v>459</v>
      </c>
      <c r="G194" s="11" t="n">
        <v>14.7</v>
      </c>
      <c r="H194" s="11" t="n">
        <v>11.3</v>
      </c>
      <c r="I194" s="12" t="n">
        <v>11</v>
      </c>
      <c r="J194" s="11" t="n">
        <v>24.3</v>
      </c>
      <c r="K194" s="13" t="n">
        <v>49.8</v>
      </c>
      <c r="L194" s="2" t="s">
        <v>104</v>
      </c>
      <c r="M194" s="14" t="n">
        <v>814</v>
      </c>
      <c r="N194" s="2" t="s">
        <v>80</v>
      </c>
      <c r="O194" s="14" t="n">
        <f aca="false">IFERROR(M194/I194,"")</f>
        <v>74</v>
      </c>
    </row>
    <row r="195" customFormat="false" ht="15" hidden="false" customHeight="false" outlineLevel="0" collapsed="false">
      <c r="A195" s="2" t="s">
        <v>460</v>
      </c>
      <c r="B195" s="2" t="s">
        <v>75</v>
      </c>
      <c r="C195" s="2" t="s">
        <v>76</v>
      </c>
      <c r="D195" s="2" t="s">
        <v>77</v>
      </c>
      <c r="E195" s="2" t="s">
        <v>85</v>
      </c>
      <c r="F195" s="2" t="s">
        <v>359</v>
      </c>
      <c r="G195" s="11" t="n">
        <v>43.6</v>
      </c>
      <c r="H195" s="11" t="n">
        <v>22.5</v>
      </c>
      <c r="I195" s="12" t="n">
        <v>7</v>
      </c>
      <c r="J195" s="11" t="n">
        <v>61</v>
      </c>
      <c r="K195" s="13" t="n">
        <v>72.9</v>
      </c>
      <c r="L195" s="2" t="s">
        <v>87</v>
      </c>
      <c r="M195" s="14" t="n">
        <v>28474</v>
      </c>
      <c r="N195" s="2" t="s">
        <v>73</v>
      </c>
      <c r="O195" s="14" t="n">
        <f aca="false">IFERROR(M195/I195,"")</f>
        <v>4067.71428571429</v>
      </c>
    </row>
    <row r="196" customFormat="false" ht="15" hidden="false" customHeight="false" outlineLevel="0" collapsed="false">
      <c r="A196" s="2" t="s">
        <v>461</v>
      </c>
      <c r="B196" s="2" t="s">
        <v>75</v>
      </c>
      <c r="C196" s="2" t="s">
        <v>76</v>
      </c>
      <c r="D196" s="2" t="s">
        <v>77</v>
      </c>
      <c r="E196" s="2" t="s">
        <v>90</v>
      </c>
      <c r="F196" s="2" t="s">
        <v>462</v>
      </c>
      <c r="G196" s="11" t="n">
        <v>43.2</v>
      </c>
      <c r="H196" s="11" t="n">
        <v>22.6</v>
      </c>
      <c r="I196" s="12" t="n">
        <v>15</v>
      </c>
      <c r="J196" s="11" t="n">
        <v>107.6</v>
      </c>
      <c r="K196" s="13" t="n">
        <v>73</v>
      </c>
      <c r="L196" s="2" t="s">
        <v>104</v>
      </c>
      <c r="M196" s="14" t="n">
        <v>22533</v>
      </c>
      <c r="N196" s="2" t="s">
        <v>80</v>
      </c>
      <c r="O196" s="14" t="n">
        <f aca="false">IFERROR(M196/I196,"")</f>
        <v>1502.2</v>
      </c>
    </row>
    <row r="197" customFormat="false" ht="15" hidden="false" customHeight="false" outlineLevel="0" collapsed="false">
      <c r="A197" s="2" t="s">
        <v>463</v>
      </c>
      <c r="B197" s="2" t="s">
        <v>93</v>
      </c>
      <c r="C197" s="2" t="s">
        <v>83</v>
      </c>
      <c r="D197" s="2" t="s">
        <v>77</v>
      </c>
      <c r="E197" s="2" t="s">
        <v>90</v>
      </c>
      <c r="F197" s="2" t="s">
        <v>464</v>
      </c>
      <c r="G197" s="11" t="n">
        <v>12.4</v>
      </c>
      <c r="H197" s="11" t="n">
        <v>7.6</v>
      </c>
      <c r="I197" s="12" t="n">
        <v>28</v>
      </c>
      <c r="J197" s="11" t="n">
        <v>51.1</v>
      </c>
      <c r="K197" s="13" t="n">
        <v>56.6</v>
      </c>
      <c r="L197" s="2" t="s">
        <v>104</v>
      </c>
      <c r="M197" s="14" t="n">
        <v>695</v>
      </c>
      <c r="N197" s="2" t="s">
        <v>73</v>
      </c>
      <c r="O197" s="14" t="n">
        <f aca="false">IFERROR(M197/I197,"")</f>
        <v>24.8214285714286</v>
      </c>
    </row>
    <row r="198" customFormat="false" ht="15" hidden="false" customHeight="false" outlineLevel="0" collapsed="false">
      <c r="A198" s="2" t="s">
        <v>465</v>
      </c>
      <c r="B198" s="2" t="s">
        <v>119</v>
      </c>
      <c r="C198" s="2" t="s">
        <v>102</v>
      </c>
      <c r="D198" s="2" t="s">
        <v>77</v>
      </c>
      <c r="E198" s="2" t="s">
        <v>116</v>
      </c>
      <c r="F198" s="2" t="s">
        <v>394</v>
      </c>
      <c r="G198" s="11" t="n">
        <v>35.1</v>
      </c>
      <c r="H198" s="11" t="n">
        <v>22.1</v>
      </c>
      <c r="I198" s="12" t="n">
        <v>5</v>
      </c>
      <c r="J198" s="11" t="n">
        <v>50.1</v>
      </c>
      <c r="K198" s="13" t="n">
        <v>77.6</v>
      </c>
      <c r="L198" s="2" t="s">
        <v>104</v>
      </c>
      <c r="M198" s="14" t="n">
        <v>11025</v>
      </c>
      <c r="N198" s="2" t="s">
        <v>80</v>
      </c>
      <c r="O198" s="14" t="n">
        <f aca="false">IFERROR(M198/I198,"")</f>
        <v>2205</v>
      </c>
    </row>
    <row r="199" customFormat="false" ht="15" hidden="false" customHeight="false" outlineLevel="0" collapsed="false">
      <c r="A199" s="2" t="s">
        <v>466</v>
      </c>
      <c r="B199" s="2" t="s">
        <v>165</v>
      </c>
      <c r="C199" s="2" t="s">
        <v>68</v>
      </c>
      <c r="D199" s="2" t="s">
        <v>77</v>
      </c>
      <c r="E199" s="2" t="s">
        <v>70</v>
      </c>
      <c r="F199" s="2" t="s">
        <v>467</v>
      </c>
      <c r="G199" s="11" t="n">
        <v>52.9</v>
      </c>
      <c r="H199" s="11" t="n">
        <v>21.2</v>
      </c>
      <c r="I199" s="12" t="n">
        <v>3</v>
      </c>
      <c r="J199" s="11" t="n">
        <v>45.5</v>
      </c>
      <c r="K199" s="13" t="n">
        <v>84.3</v>
      </c>
      <c r="L199" s="2" t="s">
        <v>104</v>
      </c>
      <c r="M199" s="14" t="n">
        <v>3616</v>
      </c>
      <c r="N199" s="2" t="s">
        <v>73</v>
      </c>
      <c r="O199" s="14" t="n">
        <f aca="false">IFERROR(M199/I199,"")</f>
        <v>1205.33333333333</v>
      </c>
    </row>
    <row r="200" customFormat="false" ht="15" hidden="false" customHeight="false" outlineLevel="0" collapsed="false">
      <c r="A200" s="2" t="s">
        <v>468</v>
      </c>
      <c r="B200" s="2" t="s">
        <v>93</v>
      </c>
      <c r="C200" s="2" t="s">
        <v>83</v>
      </c>
      <c r="D200" s="2" t="s">
        <v>130</v>
      </c>
      <c r="E200" s="2" t="s">
        <v>116</v>
      </c>
      <c r="F200" s="2" t="s">
        <v>246</v>
      </c>
      <c r="G200" s="11" t="n">
        <v>15.3</v>
      </c>
      <c r="H200" s="11" t="n">
        <v>8.3</v>
      </c>
      <c r="I200" s="12" t="n">
        <v>20</v>
      </c>
      <c r="J200" s="11" t="n">
        <v>58.7</v>
      </c>
      <c r="K200" s="13" t="n">
        <v>71.3</v>
      </c>
      <c r="L200" s="2" t="s">
        <v>87</v>
      </c>
      <c r="M200" s="14" t="n">
        <v>732</v>
      </c>
      <c r="N200" s="2" t="s">
        <v>138</v>
      </c>
      <c r="O200" s="14" t="n">
        <f aca="false">IFERROR(M200/I200,"")</f>
        <v>36.6</v>
      </c>
    </row>
    <row r="201" customFormat="false" ht="15" hidden="false" customHeight="false" outlineLevel="0" collapsed="false">
      <c r="A201" s="2" t="s">
        <v>469</v>
      </c>
      <c r="B201" s="2" t="s">
        <v>89</v>
      </c>
      <c r="C201" s="2" t="s">
        <v>83</v>
      </c>
      <c r="D201" s="2" t="s">
        <v>77</v>
      </c>
      <c r="E201" s="2" t="s">
        <v>90</v>
      </c>
      <c r="F201" s="2" t="s">
        <v>470</v>
      </c>
      <c r="G201" s="11" t="n">
        <v>16.4</v>
      </c>
      <c r="H201" s="11" t="n">
        <v>11.5</v>
      </c>
      <c r="I201" s="12" t="n">
        <v>18</v>
      </c>
      <c r="J201" s="11" t="n">
        <v>16.9</v>
      </c>
      <c r="K201" s="13" t="n">
        <v>64.4</v>
      </c>
      <c r="L201" s="2" t="s">
        <v>104</v>
      </c>
      <c r="M201" s="14" t="n">
        <v>763</v>
      </c>
      <c r="N201" s="2" t="s">
        <v>135</v>
      </c>
      <c r="O201" s="14" t="n">
        <f aca="false">IFERROR(M201/I201,"")</f>
        <v>42.3888888888889</v>
      </c>
    </row>
    <row r="202" customFormat="false" ht="15" hidden="false" customHeight="false" outlineLevel="0" collapsed="false">
      <c r="A202" s="2" t="s">
        <v>471</v>
      </c>
      <c r="B202" s="2" t="s">
        <v>96</v>
      </c>
      <c r="C202" s="2" t="s">
        <v>97</v>
      </c>
      <c r="D202" s="2" t="s">
        <v>77</v>
      </c>
      <c r="E202" s="2" t="s">
        <v>70</v>
      </c>
      <c r="F202" s="2" t="s">
        <v>472</v>
      </c>
      <c r="G202" s="11" t="n">
        <v>31</v>
      </c>
      <c r="H202" s="11" t="n">
        <v>27.9</v>
      </c>
      <c r="I202" s="12" t="n">
        <v>2</v>
      </c>
      <c r="J202" s="11" t="n">
        <v>9.1</v>
      </c>
      <c r="K202" s="13" t="n">
        <v>65.4</v>
      </c>
      <c r="L202" s="2" t="s">
        <v>104</v>
      </c>
      <c r="M202" s="14" t="n">
        <v>13426</v>
      </c>
      <c r="N202" s="2" t="s">
        <v>73</v>
      </c>
      <c r="O202" s="14" t="n">
        <f aca="false">IFERROR(M202/I202,"")</f>
        <v>6713</v>
      </c>
    </row>
    <row r="203" customFormat="false" ht="15" hidden="false" customHeight="false" outlineLevel="0" collapsed="false">
      <c r="A203" s="2" t="s">
        <v>473</v>
      </c>
      <c r="B203" s="2" t="s">
        <v>75</v>
      </c>
      <c r="C203" s="2" t="s">
        <v>76</v>
      </c>
      <c r="D203" s="2" t="s">
        <v>77</v>
      </c>
      <c r="E203" s="2" t="s">
        <v>90</v>
      </c>
      <c r="F203" s="2" t="s">
        <v>232</v>
      </c>
      <c r="G203" s="11" t="n">
        <v>45.9</v>
      </c>
      <c r="H203" s="11" t="n">
        <v>21.3</v>
      </c>
      <c r="I203" s="12" t="n">
        <v>30</v>
      </c>
      <c r="J203" s="11" t="n">
        <v>53.7</v>
      </c>
      <c r="K203" s="13" t="n">
        <v>56.6</v>
      </c>
      <c r="L203" s="2" t="s">
        <v>109</v>
      </c>
      <c r="M203" s="14" t="n">
        <v>18513</v>
      </c>
      <c r="N203" s="2" t="s">
        <v>73</v>
      </c>
      <c r="O203" s="14" t="n">
        <f aca="false">IFERROR(M203/I203,"")</f>
        <v>617.1</v>
      </c>
    </row>
    <row r="204" customFormat="false" ht="15" hidden="false" customHeight="false" outlineLevel="0" collapsed="false">
      <c r="A204" s="2" t="s">
        <v>474</v>
      </c>
      <c r="B204" s="2" t="s">
        <v>106</v>
      </c>
      <c r="C204" s="2" t="s">
        <v>68</v>
      </c>
      <c r="D204" s="2" t="s">
        <v>77</v>
      </c>
      <c r="E204" s="2" t="s">
        <v>107</v>
      </c>
      <c r="F204" s="2" t="s">
        <v>475</v>
      </c>
      <c r="G204" s="11" t="n">
        <v>62.9</v>
      </c>
      <c r="H204" s="11" t="n">
        <v>17.4</v>
      </c>
      <c r="I204" s="12" t="n">
        <v>9</v>
      </c>
      <c r="J204" s="11" t="n">
        <v>98.6</v>
      </c>
      <c r="K204" s="13" t="n">
        <v>77.2</v>
      </c>
      <c r="L204" s="2" t="s">
        <v>72</v>
      </c>
      <c r="M204" s="14" t="n">
        <v>5112</v>
      </c>
      <c r="N204" s="2" t="s">
        <v>73</v>
      </c>
      <c r="O204" s="14" t="n">
        <f aca="false">IFERROR(M204/I204,"")</f>
        <v>568</v>
      </c>
    </row>
    <row r="205" customFormat="false" ht="15" hidden="false" customHeight="false" outlineLevel="0" collapsed="false">
      <c r="A205" s="2" t="s">
        <v>476</v>
      </c>
      <c r="B205" s="2" t="s">
        <v>192</v>
      </c>
      <c r="C205" s="2" t="s">
        <v>126</v>
      </c>
      <c r="D205" s="2" t="s">
        <v>122</v>
      </c>
      <c r="E205" s="2" t="s">
        <v>78</v>
      </c>
      <c r="F205" s="2" t="s">
        <v>349</v>
      </c>
      <c r="G205" s="11" t="n">
        <v>488</v>
      </c>
      <c r="H205" s="11" t="n">
        <v>533.3</v>
      </c>
      <c r="I205" s="12" t="n">
        <v>15</v>
      </c>
      <c r="J205" s="11" t="n">
        <v>1839.2</v>
      </c>
      <c r="K205" s="13" t="n">
        <v>69.7</v>
      </c>
      <c r="L205" s="2" t="s">
        <v>72</v>
      </c>
      <c r="M205" s="14" t="n">
        <v>160417</v>
      </c>
      <c r="N205" s="2" t="s">
        <v>73</v>
      </c>
      <c r="O205" s="14" t="n">
        <f aca="false">IFERROR(M205/I205,"")</f>
        <v>10694.4666666667</v>
      </c>
    </row>
    <row r="206" customFormat="false" ht="15" hidden="false" customHeight="false" outlineLevel="0" collapsed="false">
      <c r="A206" s="2" t="s">
        <v>477</v>
      </c>
      <c r="B206" s="2" t="s">
        <v>96</v>
      </c>
      <c r="C206" s="2" t="s">
        <v>97</v>
      </c>
      <c r="D206" s="2" t="s">
        <v>77</v>
      </c>
      <c r="E206" s="2" t="s">
        <v>78</v>
      </c>
      <c r="F206" s="2" t="s">
        <v>155</v>
      </c>
      <c r="G206" s="11" t="n">
        <v>26.2</v>
      </c>
      <c r="H206" s="11" t="n">
        <v>33.2</v>
      </c>
      <c r="I206" s="12" t="n">
        <v>34</v>
      </c>
      <c r="J206" s="11" t="n">
        <v>235.6</v>
      </c>
      <c r="K206" s="13" t="n">
        <v>52.7</v>
      </c>
      <c r="L206" s="2" t="s">
        <v>72</v>
      </c>
      <c r="M206" s="14" t="n">
        <v>11223</v>
      </c>
      <c r="N206" s="2" t="s">
        <v>73</v>
      </c>
      <c r="O206" s="14" t="n">
        <f aca="false">IFERROR(M206/I206,"")</f>
        <v>330.088235294118</v>
      </c>
    </row>
    <row r="207" customFormat="false" ht="15" hidden="false" customHeight="false" outlineLevel="0" collapsed="false">
      <c r="A207" s="2" t="s">
        <v>478</v>
      </c>
      <c r="B207" s="2" t="s">
        <v>96</v>
      </c>
      <c r="C207" s="2" t="s">
        <v>97</v>
      </c>
      <c r="D207" s="2" t="s">
        <v>77</v>
      </c>
      <c r="E207" s="2" t="s">
        <v>116</v>
      </c>
      <c r="F207" s="2" t="s">
        <v>479</v>
      </c>
      <c r="G207" s="11" t="n">
        <v>23.1</v>
      </c>
      <c r="H207" s="11" t="n">
        <v>33.8</v>
      </c>
      <c r="I207" s="12" t="n">
        <v>8</v>
      </c>
      <c r="J207" s="11" t="n">
        <v>50</v>
      </c>
      <c r="K207" s="13" t="n">
        <v>58.8</v>
      </c>
      <c r="L207" s="2" t="s">
        <v>104</v>
      </c>
      <c r="M207" s="14" t="n">
        <v>13330</v>
      </c>
      <c r="N207" s="2" t="s">
        <v>73</v>
      </c>
      <c r="O207" s="14" t="n">
        <f aca="false">IFERROR(M207/I207,"")</f>
        <v>1666.25</v>
      </c>
    </row>
    <row r="208" customFormat="false" ht="15" hidden="false" customHeight="false" outlineLevel="0" collapsed="false">
      <c r="A208" s="2" t="s">
        <v>480</v>
      </c>
      <c r="B208" s="2" t="s">
        <v>165</v>
      </c>
      <c r="C208" s="2" t="s">
        <v>68</v>
      </c>
      <c r="D208" s="2" t="s">
        <v>69</v>
      </c>
      <c r="E208" s="2" t="s">
        <v>107</v>
      </c>
      <c r="F208" s="2" t="s">
        <v>481</v>
      </c>
      <c r="G208" s="11" t="n">
        <v>55.7</v>
      </c>
      <c r="H208" s="11" t="n">
        <v>18.4</v>
      </c>
      <c r="I208" s="12" t="n">
        <v>22</v>
      </c>
      <c r="J208" s="11" t="n">
        <v>42</v>
      </c>
      <c r="K208" s="13" t="n">
        <v>78.1</v>
      </c>
      <c r="L208" s="2" t="s">
        <v>72</v>
      </c>
      <c r="M208" s="14" t="n">
        <v>3604</v>
      </c>
      <c r="N208" s="2" t="s">
        <v>135</v>
      </c>
      <c r="O208" s="14" t="n">
        <f aca="false">IFERROR(M208/I208,"")</f>
        <v>163.818181818182</v>
      </c>
    </row>
    <row r="209" customFormat="false" ht="15" hidden="false" customHeight="false" outlineLevel="0" collapsed="false">
      <c r="A209" s="2" t="s">
        <v>482</v>
      </c>
      <c r="B209" s="2" t="s">
        <v>67</v>
      </c>
      <c r="C209" s="2" t="s">
        <v>68</v>
      </c>
      <c r="D209" s="2" t="s">
        <v>130</v>
      </c>
      <c r="E209" s="2" t="s">
        <v>85</v>
      </c>
      <c r="F209" s="2" t="s">
        <v>357</v>
      </c>
      <c r="G209" s="11" t="n">
        <v>66.1</v>
      </c>
      <c r="H209" s="11" t="n">
        <v>17.7</v>
      </c>
      <c r="I209" s="12" t="n">
        <v>9</v>
      </c>
      <c r="J209" s="11" t="n">
        <v>22.7</v>
      </c>
      <c r="K209" s="13" t="n">
        <v>93.5</v>
      </c>
      <c r="L209" s="2" t="s">
        <v>104</v>
      </c>
      <c r="M209" s="14" t="n">
        <v>3692</v>
      </c>
      <c r="N209" s="2" t="s">
        <v>135</v>
      </c>
      <c r="O209" s="14" t="n">
        <f aca="false">IFERROR(M209/I209,"")</f>
        <v>410.222222222222</v>
      </c>
    </row>
    <row r="210" customFormat="false" ht="15" hidden="false" customHeight="false" outlineLevel="0" collapsed="false">
      <c r="A210" s="2" t="s">
        <v>483</v>
      </c>
      <c r="B210" s="2" t="s">
        <v>119</v>
      </c>
      <c r="C210" s="2" t="s">
        <v>102</v>
      </c>
      <c r="D210" s="2" t="s">
        <v>77</v>
      </c>
      <c r="E210" s="2" t="s">
        <v>107</v>
      </c>
      <c r="F210" s="2" t="s">
        <v>484</v>
      </c>
      <c r="G210" s="11" t="n">
        <v>29.3</v>
      </c>
      <c r="H210" s="11" t="n">
        <v>29.1</v>
      </c>
      <c r="I210" s="12" t="n">
        <v>21</v>
      </c>
      <c r="J210" s="11" t="n">
        <v>85.2</v>
      </c>
      <c r="K210" s="13" t="n">
        <v>76.1</v>
      </c>
      <c r="L210" s="2" t="s">
        <v>109</v>
      </c>
      <c r="M210" s="14" t="n">
        <v>7984</v>
      </c>
      <c r="N210" s="2" t="s">
        <v>135</v>
      </c>
      <c r="O210" s="14" t="n">
        <f aca="false">IFERROR(M210/I210,"")</f>
        <v>380.190476190476</v>
      </c>
    </row>
    <row r="211" customFormat="false" ht="15" hidden="false" customHeight="false" outlineLevel="0" collapsed="false">
      <c r="A211" s="2" t="s">
        <v>485</v>
      </c>
      <c r="B211" s="2" t="s">
        <v>101</v>
      </c>
      <c r="C211" s="2" t="s">
        <v>102</v>
      </c>
      <c r="D211" s="2" t="s">
        <v>77</v>
      </c>
      <c r="E211" s="2" t="s">
        <v>78</v>
      </c>
      <c r="F211" s="2" t="s">
        <v>186</v>
      </c>
      <c r="G211" s="11" t="n">
        <v>30.8</v>
      </c>
      <c r="H211" s="11" t="n">
        <v>34.9</v>
      </c>
      <c r="I211" s="12" t="n">
        <v>13</v>
      </c>
      <c r="J211" s="11" t="n">
        <v>50.4</v>
      </c>
      <c r="K211" s="13" t="n">
        <v>74.5</v>
      </c>
      <c r="L211" s="2" t="s">
        <v>109</v>
      </c>
      <c r="M211" s="14" t="n">
        <v>9295</v>
      </c>
      <c r="N211" s="2" t="s">
        <v>73</v>
      </c>
      <c r="O211" s="14" t="n">
        <f aca="false">IFERROR(M211/I211,"")</f>
        <v>715</v>
      </c>
    </row>
    <row r="212" customFormat="false" ht="15" hidden="false" customHeight="false" outlineLevel="0" collapsed="false">
      <c r="A212" s="2" t="s">
        <v>486</v>
      </c>
      <c r="B212" s="2" t="s">
        <v>106</v>
      </c>
      <c r="C212" s="2" t="s">
        <v>68</v>
      </c>
      <c r="D212" s="2" t="s">
        <v>84</v>
      </c>
      <c r="E212" s="2" t="s">
        <v>70</v>
      </c>
      <c r="F212" s="2" t="s">
        <v>487</v>
      </c>
      <c r="G212" s="11" t="n">
        <v>54.9</v>
      </c>
      <c r="H212" s="11" t="n">
        <v>20.1</v>
      </c>
      <c r="I212" s="12" t="n">
        <v>9</v>
      </c>
      <c r="J212" s="11" t="n">
        <v>89.9</v>
      </c>
      <c r="K212" s="13" t="n">
        <v>82.7</v>
      </c>
      <c r="L212" s="2" t="s">
        <v>72</v>
      </c>
      <c r="M212" s="14" t="n">
        <v>4621</v>
      </c>
      <c r="N212" s="2" t="s">
        <v>73</v>
      </c>
      <c r="O212" s="14" t="n">
        <f aca="false">IFERROR(M212/I212,"")</f>
        <v>513.444444444445</v>
      </c>
    </row>
    <row r="213" customFormat="false" ht="15" hidden="false" customHeight="false" outlineLevel="0" collapsed="false">
      <c r="A213" s="2" t="s">
        <v>488</v>
      </c>
      <c r="B213" s="2" t="s">
        <v>93</v>
      </c>
      <c r="C213" s="2" t="s">
        <v>83</v>
      </c>
      <c r="D213" s="2" t="s">
        <v>77</v>
      </c>
      <c r="E213" s="2" t="s">
        <v>78</v>
      </c>
      <c r="F213" s="2" t="s">
        <v>489</v>
      </c>
      <c r="G213" s="11" t="n">
        <v>12.8</v>
      </c>
      <c r="H213" s="11" t="n">
        <v>9.6</v>
      </c>
      <c r="I213" s="12" t="n">
        <v>19</v>
      </c>
      <c r="J213" s="11" t="n">
        <v>57.4</v>
      </c>
      <c r="K213" s="13" t="n">
        <v>64.6</v>
      </c>
      <c r="L213" s="2" t="s">
        <v>104</v>
      </c>
      <c r="M213" s="14" t="n">
        <v>610</v>
      </c>
      <c r="N213" s="2" t="s">
        <v>80</v>
      </c>
      <c r="O213" s="14" t="n">
        <f aca="false">IFERROR(M213/I213,"")</f>
        <v>32.1052631578947</v>
      </c>
    </row>
    <row r="214" customFormat="false" ht="15" hidden="false" customHeight="false" outlineLevel="0" collapsed="false">
      <c r="A214" s="2" t="s">
        <v>490</v>
      </c>
      <c r="B214" s="2" t="s">
        <v>93</v>
      </c>
      <c r="C214" s="2" t="s">
        <v>83</v>
      </c>
      <c r="D214" s="2" t="s">
        <v>77</v>
      </c>
      <c r="E214" s="2" t="s">
        <v>98</v>
      </c>
      <c r="F214" s="2" t="s">
        <v>491</v>
      </c>
      <c r="G214" s="11" t="n">
        <v>15.8</v>
      </c>
      <c r="H214" s="11" t="n">
        <v>7.6</v>
      </c>
      <c r="I214" s="12" t="n">
        <v>27</v>
      </c>
      <c r="J214" s="11" t="n">
        <v>30.1</v>
      </c>
      <c r="K214" s="13" t="n">
        <v>67.1</v>
      </c>
      <c r="L214" s="2" t="s">
        <v>87</v>
      </c>
      <c r="M214" s="14" t="n">
        <v>655</v>
      </c>
      <c r="N214" s="2" t="s">
        <v>73</v>
      </c>
      <c r="O214" s="14" t="n">
        <f aca="false">IFERROR(M214/I214,"")</f>
        <v>24.2592592592593</v>
      </c>
    </row>
    <row r="215" customFormat="false" ht="15" hidden="false" customHeight="false" outlineLevel="0" collapsed="false">
      <c r="A215" s="2" t="s">
        <v>492</v>
      </c>
      <c r="B215" s="2" t="s">
        <v>82</v>
      </c>
      <c r="C215" s="2" t="s">
        <v>83</v>
      </c>
      <c r="D215" s="2" t="s">
        <v>77</v>
      </c>
      <c r="E215" s="2" t="s">
        <v>107</v>
      </c>
      <c r="F215" s="2" t="s">
        <v>493</v>
      </c>
      <c r="G215" s="11" t="n">
        <v>14</v>
      </c>
      <c r="H215" s="11" t="n">
        <v>8.2</v>
      </c>
      <c r="I215" s="12" t="n">
        <v>40</v>
      </c>
      <c r="J215" s="11" t="n">
        <v>130.4</v>
      </c>
      <c r="K215" s="13" t="n">
        <v>45.1</v>
      </c>
      <c r="L215" s="2" t="s">
        <v>72</v>
      </c>
      <c r="M215" s="14" t="n">
        <v>819</v>
      </c>
      <c r="N215" s="2" t="s">
        <v>80</v>
      </c>
      <c r="O215" s="14" t="n">
        <f aca="false">IFERROR(M215/I215,"")</f>
        <v>20.475</v>
      </c>
    </row>
    <row r="216" customFormat="false" ht="15" hidden="false" customHeight="false" outlineLevel="0" collapsed="false">
      <c r="A216" s="2" t="s">
        <v>494</v>
      </c>
      <c r="B216" s="2" t="s">
        <v>106</v>
      </c>
      <c r="C216" s="2" t="s">
        <v>68</v>
      </c>
      <c r="D216" s="2" t="s">
        <v>130</v>
      </c>
      <c r="E216" s="2" t="s">
        <v>98</v>
      </c>
      <c r="F216" s="2" t="s">
        <v>255</v>
      </c>
      <c r="G216" s="11" t="n">
        <v>60.9</v>
      </c>
      <c r="H216" s="11" t="n">
        <v>13.1</v>
      </c>
      <c r="I216" s="12" t="n">
        <v>11</v>
      </c>
      <c r="J216" s="11" t="n">
        <v>178.2</v>
      </c>
      <c r="K216" s="13" t="n">
        <v>91.9</v>
      </c>
      <c r="L216" s="2" t="s">
        <v>104</v>
      </c>
      <c r="M216" s="14" t="n">
        <v>2843</v>
      </c>
      <c r="N216" s="2" t="s">
        <v>73</v>
      </c>
      <c r="O216" s="14" t="n">
        <f aca="false">IFERROR(M216/I216,"")</f>
        <v>258.454545454545</v>
      </c>
    </row>
    <row r="217" customFormat="false" ht="15" hidden="false" customHeight="false" outlineLevel="0" collapsed="false">
      <c r="A217" s="2" t="s">
        <v>495</v>
      </c>
      <c r="B217" s="2" t="s">
        <v>89</v>
      </c>
      <c r="C217" s="2" t="s">
        <v>83</v>
      </c>
      <c r="D217" s="2" t="s">
        <v>69</v>
      </c>
      <c r="E217" s="2" t="s">
        <v>78</v>
      </c>
      <c r="F217" s="2" t="s">
        <v>453</v>
      </c>
      <c r="G217" s="11" t="n">
        <v>14.4</v>
      </c>
      <c r="H217" s="11" t="n">
        <v>9.7</v>
      </c>
      <c r="I217" s="12" t="n">
        <v>44</v>
      </c>
      <c r="J217" s="11" t="n">
        <v>34.4</v>
      </c>
      <c r="K217" s="13" t="n">
        <v>47.7</v>
      </c>
      <c r="L217" s="2" t="s">
        <v>109</v>
      </c>
      <c r="M217" s="14" t="n">
        <v>505</v>
      </c>
      <c r="N217" s="2" t="s">
        <v>73</v>
      </c>
      <c r="O217" s="14" t="n">
        <f aca="false">IFERROR(M217/I217,"")</f>
        <v>11.4772727272727</v>
      </c>
    </row>
    <row r="218" customFormat="false" ht="15" hidden="false" customHeight="false" outlineLevel="0" collapsed="false">
      <c r="A218" s="2" t="s">
        <v>496</v>
      </c>
      <c r="B218" s="2" t="s">
        <v>93</v>
      </c>
      <c r="C218" s="2" t="s">
        <v>83</v>
      </c>
      <c r="D218" s="2" t="s">
        <v>122</v>
      </c>
      <c r="E218" s="2" t="s">
        <v>78</v>
      </c>
      <c r="F218" s="2" t="s">
        <v>259</v>
      </c>
      <c r="G218" s="11" t="n">
        <v>14.7</v>
      </c>
      <c r="H218" s="11" t="n">
        <v>6.9</v>
      </c>
      <c r="I218" s="12" t="n">
        <v>7</v>
      </c>
      <c r="J218" s="11" t="n">
        <v>25</v>
      </c>
      <c r="K218" s="13" t="n">
        <v>44</v>
      </c>
      <c r="L218" s="2" t="s">
        <v>72</v>
      </c>
      <c r="M218" s="14" t="n">
        <v>566</v>
      </c>
      <c r="N218" s="2" t="s">
        <v>80</v>
      </c>
      <c r="O218" s="14" t="n">
        <f aca="false">IFERROR(M218/I218,"")</f>
        <v>80.8571428571429</v>
      </c>
    </row>
    <row r="219" customFormat="false" ht="15" hidden="false" customHeight="false" outlineLevel="0" collapsed="false">
      <c r="A219" s="2" t="s">
        <v>497</v>
      </c>
      <c r="B219" s="2" t="s">
        <v>101</v>
      </c>
      <c r="C219" s="2" t="s">
        <v>102</v>
      </c>
      <c r="D219" s="2" t="s">
        <v>77</v>
      </c>
      <c r="E219" s="2" t="s">
        <v>78</v>
      </c>
      <c r="F219" s="2" t="s">
        <v>498</v>
      </c>
      <c r="G219" s="11" t="n">
        <v>29.7</v>
      </c>
      <c r="H219" s="11" t="n">
        <v>27.7</v>
      </c>
      <c r="I219" s="12" t="n">
        <v>20</v>
      </c>
      <c r="J219" s="11" t="n">
        <v>159.2</v>
      </c>
      <c r="K219" s="13" t="n">
        <v>71.6</v>
      </c>
      <c r="L219" s="2" t="s">
        <v>109</v>
      </c>
      <c r="M219" s="14" t="n">
        <v>8322</v>
      </c>
      <c r="N219" s="2" t="s">
        <v>73</v>
      </c>
      <c r="O219" s="14" t="n">
        <f aca="false">IFERROR(M219/I219,"")</f>
        <v>416.1</v>
      </c>
    </row>
    <row r="220" customFormat="false" ht="15" hidden="false" customHeight="false" outlineLevel="0" collapsed="false">
      <c r="A220" s="2" t="s">
        <v>499</v>
      </c>
      <c r="B220" s="2" t="s">
        <v>111</v>
      </c>
      <c r="C220" s="2" t="s">
        <v>76</v>
      </c>
      <c r="D220" s="2" t="s">
        <v>84</v>
      </c>
      <c r="E220" s="2" t="s">
        <v>116</v>
      </c>
      <c r="F220" s="2" t="s">
        <v>500</v>
      </c>
      <c r="G220" s="11" t="n">
        <v>37.8</v>
      </c>
      <c r="H220" s="11" t="n">
        <v>19.3</v>
      </c>
      <c r="I220" s="12" t="n">
        <v>16</v>
      </c>
      <c r="J220" s="11" t="n">
        <v>131.3</v>
      </c>
      <c r="K220" s="13" t="n">
        <v>58.4</v>
      </c>
      <c r="L220" s="2" t="s">
        <v>104</v>
      </c>
      <c r="M220" s="14" t="n">
        <v>25689</v>
      </c>
      <c r="N220" s="2" t="s">
        <v>80</v>
      </c>
      <c r="O220" s="14" t="n">
        <f aca="false">IFERROR(M220/I220,"")</f>
        <v>1605.5625</v>
      </c>
    </row>
    <row r="221" customFormat="false" ht="15" hidden="false" customHeight="false" outlineLevel="0" collapsed="false">
      <c r="A221" s="2" t="s">
        <v>501</v>
      </c>
      <c r="B221" s="2" t="s">
        <v>67</v>
      </c>
      <c r="C221" s="2" t="s">
        <v>68</v>
      </c>
      <c r="D221" s="2" t="s">
        <v>77</v>
      </c>
      <c r="E221" s="2" t="s">
        <v>107</v>
      </c>
      <c r="F221" s="2" t="s">
        <v>502</v>
      </c>
      <c r="G221" s="11" t="n">
        <v>39.3</v>
      </c>
      <c r="H221" s="11" t="n">
        <v>19</v>
      </c>
      <c r="I221" s="12" t="n">
        <v>8</v>
      </c>
      <c r="J221" s="11" t="n">
        <v>52.4</v>
      </c>
      <c r="K221" s="13" t="n">
        <v>73.2</v>
      </c>
      <c r="L221" s="2" t="s">
        <v>72</v>
      </c>
      <c r="M221" s="14" t="n">
        <v>2429</v>
      </c>
      <c r="N221" s="2" t="s">
        <v>73</v>
      </c>
      <c r="O221" s="14" t="n">
        <f aca="false">IFERROR(M221/I221,"")</f>
        <v>303.625</v>
      </c>
    </row>
    <row r="222" customFormat="false" ht="15" hidden="false" customHeight="false" outlineLevel="0" collapsed="false">
      <c r="A222" s="2" t="s">
        <v>503</v>
      </c>
      <c r="B222" s="2" t="s">
        <v>89</v>
      </c>
      <c r="C222" s="2" t="s">
        <v>83</v>
      </c>
      <c r="D222" s="2" t="s">
        <v>77</v>
      </c>
      <c r="E222" s="2" t="s">
        <v>70</v>
      </c>
      <c r="F222" s="2" t="s">
        <v>161</v>
      </c>
      <c r="G222" s="11" t="n">
        <v>12.4</v>
      </c>
      <c r="H222" s="11" t="n">
        <v>9.7</v>
      </c>
      <c r="I222" s="12" t="n">
        <v>16</v>
      </c>
      <c r="J222" s="11" t="n">
        <v>29</v>
      </c>
      <c r="K222" s="13" t="n">
        <v>49.8</v>
      </c>
      <c r="L222" s="2" t="s">
        <v>72</v>
      </c>
      <c r="M222" s="14" t="n">
        <v>568</v>
      </c>
      <c r="N222" s="2" t="s">
        <v>73</v>
      </c>
      <c r="O222" s="14" t="n">
        <f aca="false">IFERROR(M222/I222,"")</f>
        <v>35.5</v>
      </c>
    </row>
    <row r="223" customFormat="false" ht="15" hidden="false" customHeight="false" outlineLevel="0" collapsed="false">
      <c r="A223" s="2" t="s">
        <v>504</v>
      </c>
      <c r="B223" s="2" t="s">
        <v>82</v>
      </c>
      <c r="C223" s="2" t="s">
        <v>83</v>
      </c>
      <c r="D223" s="2" t="s">
        <v>84</v>
      </c>
      <c r="E223" s="2" t="s">
        <v>107</v>
      </c>
      <c r="F223" s="2" t="s">
        <v>505</v>
      </c>
      <c r="G223" s="11" t="n">
        <v>12.8</v>
      </c>
      <c r="H223" s="11" t="n">
        <v>6.3</v>
      </c>
      <c r="I223" s="12" t="n">
        <v>6</v>
      </c>
      <c r="J223" s="11" t="n">
        <v>18.9</v>
      </c>
      <c r="K223" s="13" t="n">
        <v>51.7</v>
      </c>
      <c r="L223" s="2" t="s">
        <v>72</v>
      </c>
      <c r="M223" s="14" t="n">
        <v>514</v>
      </c>
      <c r="N223" s="2" t="s">
        <v>80</v>
      </c>
      <c r="O223" s="14" t="n">
        <f aca="false">IFERROR(M223/I223,"")</f>
        <v>85.6666666666667</v>
      </c>
    </row>
    <row r="224" customFormat="false" ht="15" hidden="false" customHeight="false" outlineLevel="0" collapsed="false">
      <c r="A224" s="2" t="s">
        <v>506</v>
      </c>
      <c r="B224" s="2" t="s">
        <v>75</v>
      </c>
      <c r="C224" s="2" t="s">
        <v>76</v>
      </c>
      <c r="D224" s="2" t="s">
        <v>84</v>
      </c>
      <c r="E224" s="2" t="s">
        <v>78</v>
      </c>
      <c r="F224" s="2" t="s">
        <v>320</v>
      </c>
      <c r="G224" s="11" t="n">
        <v>43.6</v>
      </c>
      <c r="H224" s="11" t="n">
        <v>19.2</v>
      </c>
      <c r="I224" s="12" t="n">
        <v>8</v>
      </c>
      <c r="J224" s="11" t="n">
        <v>20.3</v>
      </c>
      <c r="K224" s="13" t="n">
        <v>61.3</v>
      </c>
      <c r="L224" s="2" t="s">
        <v>72</v>
      </c>
      <c r="M224" s="14" t="n">
        <v>15457</v>
      </c>
      <c r="N224" s="2" t="s">
        <v>73</v>
      </c>
      <c r="O224" s="14" t="n">
        <f aca="false">IFERROR(M224/I224,"")</f>
        <v>1932.125</v>
      </c>
    </row>
    <row r="225" customFormat="false" ht="15" hidden="false" customHeight="false" outlineLevel="0" collapsed="false">
      <c r="A225" s="2" t="s">
        <v>507</v>
      </c>
      <c r="B225" s="2" t="s">
        <v>89</v>
      </c>
      <c r="C225" s="2" t="s">
        <v>83</v>
      </c>
      <c r="D225" s="2" t="s">
        <v>77</v>
      </c>
      <c r="E225" s="2" t="s">
        <v>78</v>
      </c>
      <c r="F225" s="2" t="s">
        <v>508</v>
      </c>
      <c r="G225" s="11" t="n">
        <v>11.6</v>
      </c>
      <c r="H225" s="11" t="n">
        <v>9.5</v>
      </c>
      <c r="I225" s="12" t="n">
        <v>47</v>
      </c>
      <c r="J225" s="11" t="n">
        <v>137.6</v>
      </c>
      <c r="K225" s="13" t="n">
        <v>57.2</v>
      </c>
      <c r="L225" s="2" t="s">
        <v>104</v>
      </c>
      <c r="M225" s="14" t="n">
        <v>493</v>
      </c>
      <c r="N225" s="2" t="s">
        <v>80</v>
      </c>
      <c r="O225" s="14" t="n">
        <f aca="false">IFERROR(M225/I225,"")</f>
        <v>10.4893617021277</v>
      </c>
    </row>
    <row r="226" customFormat="false" ht="15" hidden="false" customHeight="false" outlineLevel="0" collapsed="false">
      <c r="A226" s="2" t="s">
        <v>509</v>
      </c>
      <c r="B226" s="2" t="s">
        <v>93</v>
      </c>
      <c r="C226" s="2" t="s">
        <v>83</v>
      </c>
      <c r="D226" s="2" t="s">
        <v>127</v>
      </c>
      <c r="E226" s="2" t="s">
        <v>90</v>
      </c>
      <c r="F226" s="2" t="s">
        <v>417</v>
      </c>
      <c r="G226" s="11" t="n">
        <v>17.3</v>
      </c>
      <c r="H226" s="11" t="n">
        <v>9.7</v>
      </c>
      <c r="I226" s="12" t="n">
        <v>11</v>
      </c>
      <c r="J226" s="11" t="n">
        <v>37.9</v>
      </c>
      <c r="K226" s="13" t="n">
        <v>47.6</v>
      </c>
      <c r="L226" s="2" t="s">
        <v>72</v>
      </c>
      <c r="M226" s="14" t="n">
        <v>741</v>
      </c>
      <c r="N226" s="2" t="s">
        <v>80</v>
      </c>
      <c r="O226" s="14" t="n">
        <f aca="false">IFERROR(M226/I226,"")</f>
        <v>67.3636363636364</v>
      </c>
    </row>
    <row r="227" customFormat="false" ht="15" hidden="false" customHeight="false" outlineLevel="0" collapsed="false">
      <c r="A227" s="2" t="s">
        <v>510</v>
      </c>
      <c r="B227" s="2" t="s">
        <v>82</v>
      </c>
      <c r="C227" s="2" t="s">
        <v>83</v>
      </c>
      <c r="D227" s="2" t="s">
        <v>77</v>
      </c>
      <c r="E227" s="2" t="s">
        <v>70</v>
      </c>
      <c r="F227" s="2" t="s">
        <v>511</v>
      </c>
      <c r="G227" s="11" t="n">
        <v>16.3</v>
      </c>
      <c r="H227" s="11" t="n">
        <v>10.2</v>
      </c>
      <c r="I227" s="12" t="n">
        <v>14</v>
      </c>
      <c r="J227" s="11" t="n">
        <v>25.3</v>
      </c>
      <c r="K227" s="13" t="n">
        <v>58.3</v>
      </c>
      <c r="L227" s="2" t="s">
        <v>104</v>
      </c>
      <c r="M227" s="14" t="n">
        <v>662</v>
      </c>
      <c r="N227" s="2" t="s">
        <v>73</v>
      </c>
      <c r="O227" s="14" t="n">
        <f aca="false">IFERROR(M227/I227,"")</f>
        <v>47.2857142857143</v>
      </c>
    </row>
    <row r="228" customFormat="false" ht="15" hidden="false" customHeight="false" outlineLevel="0" collapsed="false">
      <c r="A228" s="2" t="s">
        <v>512</v>
      </c>
      <c r="B228" s="2" t="s">
        <v>111</v>
      </c>
      <c r="C228" s="2" t="s">
        <v>76</v>
      </c>
      <c r="D228" s="2" t="s">
        <v>130</v>
      </c>
      <c r="E228" s="2" t="s">
        <v>116</v>
      </c>
      <c r="F228" s="2" t="s">
        <v>513</v>
      </c>
      <c r="G228" s="11" t="n">
        <v>35.6</v>
      </c>
      <c r="H228" s="11" t="n">
        <v>20.8</v>
      </c>
      <c r="I228" s="12" t="n">
        <v>17</v>
      </c>
      <c r="J228" s="11" t="n">
        <v>105.5</v>
      </c>
      <c r="K228" s="13" t="n">
        <v>74.1</v>
      </c>
      <c r="L228" s="2" t="s">
        <v>87</v>
      </c>
      <c r="M228" s="14" t="n">
        <v>22646</v>
      </c>
      <c r="N228" s="2" t="s">
        <v>73</v>
      </c>
      <c r="O228" s="14" t="n">
        <f aca="false">IFERROR(M228/I228,"")</f>
        <v>1332.11764705882</v>
      </c>
    </row>
    <row r="229" customFormat="false" ht="15" hidden="false" customHeight="false" outlineLevel="0" collapsed="false">
      <c r="A229" s="2" t="s">
        <v>514</v>
      </c>
      <c r="B229" s="2" t="s">
        <v>101</v>
      </c>
      <c r="C229" s="2" t="s">
        <v>102</v>
      </c>
      <c r="D229" s="2" t="s">
        <v>77</v>
      </c>
      <c r="E229" s="2" t="s">
        <v>98</v>
      </c>
      <c r="F229" s="2" t="s">
        <v>515</v>
      </c>
      <c r="G229" s="11" t="n">
        <v>26.4</v>
      </c>
      <c r="H229" s="11" t="n">
        <v>24.6</v>
      </c>
      <c r="I229" s="12" t="n">
        <v>20</v>
      </c>
      <c r="J229" s="11" t="n">
        <v>32</v>
      </c>
      <c r="K229" s="13" t="n">
        <v>89.2</v>
      </c>
      <c r="L229" s="2" t="s">
        <v>104</v>
      </c>
      <c r="M229" s="14" t="n">
        <v>9481</v>
      </c>
      <c r="N229" s="2" t="s">
        <v>73</v>
      </c>
      <c r="O229" s="14" t="n">
        <f aca="false">IFERROR(M229/I229,"")</f>
        <v>474.05</v>
      </c>
    </row>
    <row r="230" customFormat="false" ht="15" hidden="false" customHeight="false" outlineLevel="0" collapsed="false">
      <c r="A230" s="2" t="s">
        <v>516</v>
      </c>
      <c r="B230" s="2" t="s">
        <v>82</v>
      </c>
      <c r="C230" s="2" t="s">
        <v>83</v>
      </c>
      <c r="D230" s="2" t="s">
        <v>77</v>
      </c>
      <c r="E230" s="2" t="s">
        <v>98</v>
      </c>
      <c r="F230" s="2" t="s">
        <v>433</v>
      </c>
      <c r="G230" s="11" t="n">
        <v>10.7</v>
      </c>
      <c r="H230" s="11" t="n">
        <v>11.6</v>
      </c>
      <c r="I230" s="12" t="n">
        <v>19</v>
      </c>
      <c r="J230" s="11" t="n">
        <v>66</v>
      </c>
      <c r="K230" s="13" t="n">
        <v>60.9</v>
      </c>
      <c r="L230" s="2" t="s">
        <v>104</v>
      </c>
      <c r="M230" s="14" t="n">
        <v>703</v>
      </c>
      <c r="N230" s="2" t="s">
        <v>80</v>
      </c>
      <c r="O230" s="14" t="n">
        <f aca="false">IFERROR(M230/I230,"")</f>
        <v>37</v>
      </c>
    </row>
    <row r="231" customFormat="false" ht="15" hidden="false" customHeight="false" outlineLevel="0" collapsed="false">
      <c r="A231" s="2" t="s">
        <v>517</v>
      </c>
      <c r="B231" s="2" t="s">
        <v>101</v>
      </c>
      <c r="C231" s="2" t="s">
        <v>102</v>
      </c>
      <c r="D231" s="2" t="s">
        <v>127</v>
      </c>
      <c r="E231" s="2" t="s">
        <v>78</v>
      </c>
      <c r="F231" s="2" t="s">
        <v>259</v>
      </c>
      <c r="G231" s="11" t="n">
        <v>37.2</v>
      </c>
      <c r="H231" s="11" t="n">
        <v>25.8</v>
      </c>
      <c r="I231" s="12" t="n">
        <v>19</v>
      </c>
      <c r="J231" s="11" t="n">
        <v>171.5</v>
      </c>
      <c r="K231" s="13" t="n">
        <v>83.9</v>
      </c>
      <c r="L231" s="2" t="s">
        <v>72</v>
      </c>
      <c r="M231" s="14" t="n">
        <v>9182</v>
      </c>
      <c r="N231" s="2" t="s">
        <v>135</v>
      </c>
      <c r="O231" s="14" t="n">
        <f aca="false">IFERROR(M231/I231,"")</f>
        <v>483.263157894737</v>
      </c>
    </row>
    <row r="232" customFormat="false" ht="15" hidden="false" customHeight="false" outlineLevel="0" collapsed="false">
      <c r="A232" s="2" t="s">
        <v>518</v>
      </c>
      <c r="B232" s="2" t="s">
        <v>67</v>
      </c>
      <c r="C232" s="2" t="s">
        <v>68</v>
      </c>
      <c r="D232" s="2" t="s">
        <v>84</v>
      </c>
      <c r="E232" s="2" t="s">
        <v>70</v>
      </c>
      <c r="F232" s="2" t="s">
        <v>519</v>
      </c>
      <c r="G232" s="11" t="n">
        <v>45</v>
      </c>
      <c r="H232" s="11" t="n">
        <v>20.4</v>
      </c>
      <c r="I232" s="12" t="n">
        <v>11</v>
      </c>
      <c r="J232" s="11" t="n">
        <v>48.7</v>
      </c>
      <c r="K232" s="13" t="n">
        <v>82</v>
      </c>
      <c r="L232" s="2" t="s">
        <v>104</v>
      </c>
      <c r="M232" s="14" t="n">
        <v>4751</v>
      </c>
      <c r="N232" s="2" t="s">
        <v>73</v>
      </c>
      <c r="O232" s="14" t="n">
        <f aca="false">IFERROR(M232/I232,"")</f>
        <v>431.909090909091</v>
      </c>
    </row>
    <row r="233" customFormat="false" ht="15" hidden="false" customHeight="false" outlineLevel="0" collapsed="false">
      <c r="A233" s="2" t="s">
        <v>520</v>
      </c>
      <c r="B233" s="2" t="s">
        <v>67</v>
      </c>
      <c r="C233" s="2" t="s">
        <v>68</v>
      </c>
      <c r="D233" s="2" t="s">
        <v>127</v>
      </c>
      <c r="E233" s="2" t="s">
        <v>78</v>
      </c>
      <c r="F233" s="2" t="s">
        <v>521</v>
      </c>
      <c r="G233" s="11" t="n">
        <v>52.2</v>
      </c>
      <c r="H233" s="11" t="n">
        <v>17.2</v>
      </c>
      <c r="I233" s="12" t="n">
        <v>7</v>
      </c>
      <c r="J233" s="11" t="n">
        <v>101.7</v>
      </c>
      <c r="K233" s="13" t="n">
        <v>68.5</v>
      </c>
      <c r="L233" s="2" t="s">
        <v>72</v>
      </c>
      <c r="M233" s="14" t="n">
        <v>3940</v>
      </c>
      <c r="N233" s="2" t="s">
        <v>135</v>
      </c>
      <c r="O233" s="14" t="n">
        <f aca="false">IFERROR(M233/I233,"")</f>
        <v>562.857142857143</v>
      </c>
    </row>
    <row r="234" customFormat="false" ht="15" hidden="false" customHeight="false" outlineLevel="0" collapsed="false">
      <c r="A234" s="2" t="s">
        <v>522</v>
      </c>
      <c r="B234" s="2" t="s">
        <v>119</v>
      </c>
      <c r="C234" s="2" t="s">
        <v>102</v>
      </c>
      <c r="D234" s="2" t="s">
        <v>127</v>
      </c>
      <c r="E234" s="2" t="s">
        <v>85</v>
      </c>
      <c r="F234" s="2" t="s">
        <v>523</v>
      </c>
      <c r="G234" s="11" t="n">
        <v>38.5</v>
      </c>
      <c r="H234" s="11" t="n">
        <v>19</v>
      </c>
      <c r="I234" s="12" t="n">
        <v>19</v>
      </c>
      <c r="J234" s="11" t="n">
        <v>102.2</v>
      </c>
      <c r="K234" s="13" t="n">
        <v>93.7</v>
      </c>
      <c r="L234" s="2" t="s">
        <v>87</v>
      </c>
      <c r="M234" s="14" t="n">
        <v>4155</v>
      </c>
      <c r="N234" s="2" t="s">
        <v>73</v>
      </c>
      <c r="O234" s="14" t="n">
        <f aca="false">IFERROR(M234/I234,"")</f>
        <v>218.684210526316</v>
      </c>
    </row>
    <row r="235" customFormat="false" ht="15" hidden="false" customHeight="false" outlineLevel="0" collapsed="false">
      <c r="A235" s="2" t="s">
        <v>524</v>
      </c>
      <c r="B235" s="2" t="s">
        <v>111</v>
      </c>
      <c r="C235" s="2" t="s">
        <v>76</v>
      </c>
      <c r="D235" s="2" t="s">
        <v>77</v>
      </c>
      <c r="E235" s="2" t="s">
        <v>78</v>
      </c>
      <c r="F235" s="2" t="s">
        <v>176</v>
      </c>
      <c r="G235" s="11" t="n">
        <v>43.9</v>
      </c>
      <c r="H235" s="11" t="n">
        <v>23.6</v>
      </c>
      <c r="I235" s="12" t="n">
        <v>7</v>
      </c>
      <c r="J235" s="11" t="n">
        <v>74.2</v>
      </c>
      <c r="K235" s="13" t="n">
        <v>56</v>
      </c>
      <c r="L235" s="2" t="s">
        <v>72</v>
      </c>
      <c r="M235" s="14" t="n">
        <v>24350</v>
      </c>
      <c r="N235" s="2" t="s">
        <v>73</v>
      </c>
      <c r="O235" s="14" t="n">
        <f aca="false">IFERROR(M235/I235,"")</f>
        <v>3478.57142857143</v>
      </c>
    </row>
    <row r="236" customFormat="false" ht="15" hidden="false" customHeight="false" outlineLevel="0" collapsed="false">
      <c r="A236" s="2" t="s">
        <v>525</v>
      </c>
      <c r="B236" s="2" t="s">
        <v>82</v>
      </c>
      <c r="C236" s="2" t="s">
        <v>83</v>
      </c>
      <c r="D236" s="2" t="s">
        <v>77</v>
      </c>
      <c r="E236" s="2" t="s">
        <v>107</v>
      </c>
      <c r="F236" s="2" t="s">
        <v>199</v>
      </c>
      <c r="G236" s="11" t="n">
        <v>15.3</v>
      </c>
      <c r="H236" s="11" t="n">
        <v>9.8</v>
      </c>
      <c r="I236" s="12" t="n">
        <v>15</v>
      </c>
      <c r="J236" s="11" t="n">
        <v>24.3</v>
      </c>
      <c r="K236" s="13" t="n">
        <v>54.1</v>
      </c>
      <c r="L236" s="2" t="s">
        <v>72</v>
      </c>
      <c r="M236" s="14" t="n">
        <v>768</v>
      </c>
      <c r="N236" s="2" t="s">
        <v>73</v>
      </c>
      <c r="O236" s="14" t="n">
        <f aca="false">IFERROR(M236/I236,"")</f>
        <v>51.2</v>
      </c>
    </row>
    <row r="237" customFormat="false" ht="15" hidden="false" customHeight="false" outlineLevel="0" collapsed="false">
      <c r="A237" s="2" t="s">
        <v>526</v>
      </c>
      <c r="B237" s="2" t="s">
        <v>82</v>
      </c>
      <c r="C237" s="2" t="s">
        <v>83</v>
      </c>
      <c r="D237" s="2" t="s">
        <v>84</v>
      </c>
      <c r="E237" s="2" t="s">
        <v>78</v>
      </c>
      <c r="F237" s="2" t="s">
        <v>527</v>
      </c>
      <c r="G237" s="11" t="n">
        <v>11.3</v>
      </c>
      <c r="H237" s="11" t="n">
        <v>10.4</v>
      </c>
      <c r="I237" s="12" t="n">
        <v>26</v>
      </c>
      <c r="J237" s="11" t="n">
        <v>46.8</v>
      </c>
      <c r="K237" s="13" t="n">
        <v>56.1</v>
      </c>
      <c r="L237" s="2" t="s">
        <v>72</v>
      </c>
      <c r="M237" s="14" t="n">
        <v>711</v>
      </c>
      <c r="N237" s="2" t="s">
        <v>138</v>
      </c>
      <c r="O237" s="14" t="n">
        <f aca="false">IFERROR(M237/I237,"")</f>
        <v>27.3461538461538</v>
      </c>
    </row>
    <row r="238" customFormat="false" ht="15" hidden="false" customHeight="false" outlineLevel="0" collapsed="false">
      <c r="A238" s="2" t="s">
        <v>528</v>
      </c>
      <c r="B238" s="2" t="s">
        <v>93</v>
      </c>
      <c r="C238" s="2" t="s">
        <v>83</v>
      </c>
      <c r="D238" s="2" t="s">
        <v>77</v>
      </c>
      <c r="E238" s="2" t="s">
        <v>78</v>
      </c>
      <c r="F238" s="2" t="s">
        <v>147</v>
      </c>
      <c r="G238" s="11" t="n">
        <v>15.2</v>
      </c>
      <c r="H238" s="11" t="n">
        <v>7.7</v>
      </c>
      <c r="I238" s="12" t="n">
        <v>18</v>
      </c>
      <c r="J238" s="11" t="n">
        <v>66.7</v>
      </c>
      <c r="K238" s="13" t="n">
        <v>55.2</v>
      </c>
      <c r="L238" s="2" t="s">
        <v>72</v>
      </c>
      <c r="M238" s="14" t="n">
        <v>577</v>
      </c>
      <c r="N238" s="2" t="s">
        <v>80</v>
      </c>
      <c r="O238" s="14" t="n">
        <f aca="false">IFERROR(M238/I238,"")</f>
        <v>32.0555555555556</v>
      </c>
    </row>
    <row r="239" customFormat="false" ht="15" hidden="false" customHeight="false" outlineLevel="0" collapsed="false">
      <c r="A239" s="2" t="s">
        <v>529</v>
      </c>
      <c r="B239" s="2" t="s">
        <v>111</v>
      </c>
      <c r="C239" s="2" t="s">
        <v>76</v>
      </c>
      <c r="D239" s="2" t="s">
        <v>130</v>
      </c>
      <c r="E239" s="2" t="s">
        <v>116</v>
      </c>
      <c r="F239" s="2" t="s">
        <v>530</v>
      </c>
      <c r="G239" s="11" t="n">
        <v>45.7</v>
      </c>
      <c r="H239" s="11" t="n">
        <v>19.5</v>
      </c>
      <c r="I239" s="12" t="n">
        <v>21</v>
      </c>
      <c r="J239" s="11" t="n">
        <v>163.6</v>
      </c>
      <c r="K239" s="13" t="n">
        <v>75.3</v>
      </c>
      <c r="L239" s="2" t="s">
        <v>104</v>
      </c>
      <c r="M239" s="14" t="n">
        <v>17741</v>
      </c>
      <c r="N239" s="2" t="s">
        <v>73</v>
      </c>
      <c r="O239" s="14" t="n">
        <f aca="false">IFERROR(M239/I239,"")</f>
        <v>844.809523809524</v>
      </c>
    </row>
    <row r="240" customFormat="false" ht="15" hidden="false" customHeight="false" outlineLevel="0" collapsed="false">
      <c r="A240" s="2" t="s">
        <v>531</v>
      </c>
      <c r="B240" s="2" t="s">
        <v>82</v>
      </c>
      <c r="C240" s="2" t="s">
        <v>83</v>
      </c>
      <c r="D240" s="2" t="s">
        <v>130</v>
      </c>
      <c r="E240" s="2" t="s">
        <v>70</v>
      </c>
      <c r="F240" s="2" t="s">
        <v>532</v>
      </c>
      <c r="G240" s="11" t="n">
        <v>15.7</v>
      </c>
      <c r="H240" s="11" t="n">
        <v>5.9</v>
      </c>
      <c r="I240" s="12" t="n">
        <v>33</v>
      </c>
      <c r="J240" s="11" t="n">
        <v>66.5</v>
      </c>
      <c r="K240" s="13" t="n">
        <v>66.6</v>
      </c>
      <c r="L240" s="2" t="s">
        <v>87</v>
      </c>
      <c r="M240" s="14" t="n">
        <v>656</v>
      </c>
      <c r="N240" s="2" t="s">
        <v>80</v>
      </c>
      <c r="O240" s="14" t="n">
        <f aca="false">IFERROR(M240/I240,"")</f>
        <v>19.8787878787879</v>
      </c>
    </row>
    <row r="241" customFormat="false" ht="15" hidden="false" customHeight="false" outlineLevel="0" collapsed="false">
      <c r="A241" s="2" t="s">
        <v>533</v>
      </c>
      <c r="B241" s="2" t="s">
        <v>89</v>
      </c>
      <c r="C241" s="2" t="s">
        <v>83</v>
      </c>
      <c r="D241" s="2" t="s">
        <v>127</v>
      </c>
      <c r="E241" s="2" t="s">
        <v>70</v>
      </c>
      <c r="F241" s="2" t="s">
        <v>210</v>
      </c>
      <c r="G241" s="11" t="n">
        <v>15.5</v>
      </c>
      <c r="H241" s="11" t="n">
        <v>9.8</v>
      </c>
      <c r="I241" s="12" t="n">
        <v>17</v>
      </c>
      <c r="J241" s="11" t="n">
        <v>36.5</v>
      </c>
      <c r="K241" s="13" t="n">
        <v>51.8</v>
      </c>
      <c r="L241" s="2" t="s">
        <v>104</v>
      </c>
      <c r="M241" s="14" t="n">
        <v>733</v>
      </c>
      <c r="N241" s="2" t="s">
        <v>73</v>
      </c>
      <c r="O241" s="14" t="n">
        <f aca="false">IFERROR(M241/I241,"")</f>
        <v>43.1176470588235</v>
      </c>
    </row>
    <row r="242" customFormat="false" ht="15" hidden="false" customHeight="false" outlineLevel="0" collapsed="false">
      <c r="A242" s="2" t="s">
        <v>534</v>
      </c>
      <c r="B242" s="2" t="s">
        <v>133</v>
      </c>
      <c r="C242" s="2" t="s">
        <v>97</v>
      </c>
      <c r="D242" s="2" t="s">
        <v>77</v>
      </c>
      <c r="E242" s="2" t="s">
        <v>98</v>
      </c>
      <c r="F242" s="2" t="s">
        <v>423</v>
      </c>
      <c r="G242" s="11" t="n">
        <v>22.8</v>
      </c>
      <c r="H242" s="11" t="n">
        <v>39.6</v>
      </c>
      <c r="I242" s="12" t="n">
        <v>8</v>
      </c>
      <c r="J242" s="11" t="n">
        <v>5</v>
      </c>
      <c r="K242" s="13" t="n">
        <v>54.7</v>
      </c>
      <c r="L242" s="2" t="s">
        <v>104</v>
      </c>
      <c r="M242" s="14" t="n">
        <v>16289</v>
      </c>
      <c r="N242" s="2" t="s">
        <v>138</v>
      </c>
      <c r="O242" s="14" t="n">
        <f aca="false">IFERROR(M242/I242,"")</f>
        <v>2036.125</v>
      </c>
    </row>
    <row r="243" customFormat="false" ht="15" hidden="false" customHeight="false" outlineLevel="0" collapsed="false">
      <c r="A243" s="2" t="s">
        <v>535</v>
      </c>
      <c r="B243" s="2" t="s">
        <v>101</v>
      </c>
      <c r="C243" s="2" t="s">
        <v>102</v>
      </c>
      <c r="D243" s="2" t="s">
        <v>84</v>
      </c>
      <c r="E243" s="2" t="s">
        <v>70</v>
      </c>
      <c r="F243" s="2" t="s">
        <v>536</v>
      </c>
      <c r="G243" s="11" t="n">
        <v>23.4</v>
      </c>
      <c r="H243" s="11" t="n">
        <v>22.3</v>
      </c>
      <c r="I243" s="12" t="n">
        <v>17</v>
      </c>
      <c r="J243" s="11" t="n">
        <v>128.1</v>
      </c>
      <c r="K243" s="13" t="n">
        <v>75.1</v>
      </c>
      <c r="L243" s="2" t="s">
        <v>104</v>
      </c>
      <c r="M243" s="14" t="n">
        <v>5556</v>
      </c>
      <c r="N243" s="2" t="s">
        <v>73</v>
      </c>
      <c r="O243" s="14" t="n">
        <f aca="false">IFERROR(M243/I243,"")</f>
        <v>326.823529411765</v>
      </c>
    </row>
    <row r="244" customFormat="false" ht="15" hidden="false" customHeight="false" outlineLevel="0" collapsed="false">
      <c r="A244" s="2" t="s">
        <v>537</v>
      </c>
      <c r="B244" s="2" t="s">
        <v>101</v>
      </c>
      <c r="C244" s="2" t="s">
        <v>102</v>
      </c>
      <c r="D244" s="2" t="s">
        <v>84</v>
      </c>
      <c r="E244" s="2" t="s">
        <v>85</v>
      </c>
      <c r="F244" s="2" t="s">
        <v>538</v>
      </c>
      <c r="G244" s="11" t="n">
        <v>37.5</v>
      </c>
      <c r="H244" s="11" t="n">
        <v>23.2</v>
      </c>
      <c r="I244" s="12" t="n">
        <v>22</v>
      </c>
      <c r="J244" s="11" t="n">
        <v>107.6</v>
      </c>
      <c r="K244" s="13" t="n">
        <v>86.6</v>
      </c>
      <c r="L244" s="2" t="s">
        <v>104</v>
      </c>
      <c r="M244" s="14" t="n">
        <v>9036</v>
      </c>
      <c r="N244" s="2" t="s">
        <v>73</v>
      </c>
      <c r="O244" s="14" t="n">
        <f aca="false">IFERROR(M244/I244,"")</f>
        <v>410.727272727273</v>
      </c>
    </row>
    <row r="245" customFormat="false" ht="15" hidden="false" customHeight="false" outlineLevel="0" collapsed="false">
      <c r="A245" s="2" t="s">
        <v>539</v>
      </c>
      <c r="B245" s="2" t="s">
        <v>82</v>
      </c>
      <c r="C245" s="2" t="s">
        <v>83</v>
      </c>
      <c r="D245" s="2" t="s">
        <v>69</v>
      </c>
      <c r="E245" s="2" t="s">
        <v>98</v>
      </c>
      <c r="F245" s="2" t="s">
        <v>540</v>
      </c>
      <c r="G245" s="11" t="n">
        <v>17</v>
      </c>
      <c r="H245" s="11" t="n">
        <v>8.7</v>
      </c>
      <c r="I245" s="12" t="n">
        <v>22</v>
      </c>
      <c r="J245" s="11" t="n">
        <v>57.4</v>
      </c>
      <c r="K245" s="13" t="n">
        <v>52.4</v>
      </c>
      <c r="L245" s="2" t="s">
        <v>72</v>
      </c>
      <c r="M245" s="14" t="n">
        <v>806</v>
      </c>
      <c r="N245" s="2" t="s">
        <v>73</v>
      </c>
      <c r="O245" s="14" t="n">
        <f aca="false">IFERROR(M245/I245,"")</f>
        <v>36.6363636363636</v>
      </c>
    </row>
    <row r="246" customFormat="false" ht="15" hidden="false" customHeight="false" outlineLevel="0" collapsed="false">
      <c r="A246" s="2" t="s">
        <v>541</v>
      </c>
      <c r="B246" s="2" t="s">
        <v>165</v>
      </c>
      <c r="C246" s="2" t="s">
        <v>68</v>
      </c>
      <c r="D246" s="2" t="s">
        <v>77</v>
      </c>
      <c r="E246" s="2" t="s">
        <v>78</v>
      </c>
      <c r="F246" s="2" t="s">
        <v>542</v>
      </c>
      <c r="G246" s="11" t="n">
        <v>48.6</v>
      </c>
      <c r="H246" s="11" t="n">
        <v>22.6</v>
      </c>
      <c r="I246" s="12" t="n">
        <v>14</v>
      </c>
      <c r="J246" s="11" t="n">
        <v>196.5</v>
      </c>
      <c r="K246" s="13" t="n">
        <v>71.8</v>
      </c>
      <c r="L246" s="2" t="s">
        <v>109</v>
      </c>
      <c r="M246" s="14" t="n">
        <v>4006</v>
      </c>
      <c r="N246" s="2" t="s">
        <v>73</v>
      </c>
      <c r="O246" s="14" t="n">
        <f aca="false">IFERROR(M246/I246,"")</f>
        <v>286.142857142857</v>
      </c>
    </row>
    <row r="247" customFormat="false" ht="15" hidden="false" customHeight="false" outlineLevel="0" collapsed="false">
      <c r="A247" s="2" t="s">
        <v>543</v>
      </c>
      <c r="B247" s="2" t="s">
        <v>165</v>
      </c>
      <c r="C247" s="2" t="s">
        <v>68</v>
      </c>
      <c r="D247" s="2" t="s">
        <v>127</v>
      </c>
      <c r="E247" s="2" t="s">
        <v>70</v>
      </c>
      <c r="F247" s="2" t="s">
        <v>544</v>
      </c>
      <c r="G247" s="11" t="n">
        <v>48.5</v>
      </c>
      <c r="H247" s="11" t="n">
        <v>20.6</v>
      </c>
      <c r="I247" s="12" t="n">
        <v>6</v>
      </c>
      <c r="J247" s="11" t="n">
        <v>66.3</v>
      </c>
      <c r="K247" s="13" t="n">
        <v>76.8</v>
      </c>
      <c r="L247" s="2" t="s">
        <v>72</v>
      </c>
      <c r="M247" s="14" t="n">
        <v>5177</v>
      </c>
      <c r="N247" s="2" t="s">
        <v>80</v>
      </c>
      <c r="O247" s="14" t="n">
        <f aca="false">IFERROR(M247/I247,"")</f>
        <v>862.833333333333</v>
      </c>
    </row>
    <row r="248" customFormat="false" ht="15" hidden="false" customHeight="false" outlineLevel="0" collapsed="false">
      <c r="A248" s="2" t="s">
        <v>545</v>
      </c>
      <c r="B248" s="2" t="s">
        <v>89</v>
      </c>
      <c r="C248" s="2" t="s">
        <v>83</v>
      </c>
      <c r="D248" s="2" t="s">
        <v>84</v>
      </c>
      <c r="E248" s="2" t="s">
        <v>78</v>
      </c>
      <c r="F248" s="2" t="s">
        <v>546</v>
      </c>
      <c r="G248" s="11" t="n">
        <v>14.2</v>
      </c>
      <c r="H248" s="11" t="n">
        <v>10.6</v>
      </c>
      <c r="I248" s="12" t="n">
        <v>19</v>
      </c>
      <c r="J248" s="11" t="n">
        <v>44.8</v>
      </c>
      <c r="K248" s="13" t="n">
        <v>55</v>
      </c>
      <c r="L248" s="2" t="s">
        <v>72</v>
      </c>
      <c r="M248" s="14" t="n">
        <v>565</v>
      </c>
      <c r="N248" s="2" t="s">
        <v>80</v>
      </c>
      <c r="O248" s="14" t="n">
        <f aca="false">IFERROR(M248/I248,"")</f>
        <v>29.7368421052632</v>
      </c>
    </row>
    <row r="249" customFormat="false" ht="15" hidden="false" customHeight="false" outlineLevel="0" collapsed="false">
      <c r="A249" s="2" t="s">
        <v>547</v>
      </c>
      <c r="B249" s="2" t="s">
        <v>67</v>
      </c>
      <c r="C249" s="2" t="s">
        <v>68</v>
      </c>
      <c r="D249" s="2" t="s">
        <v>77</v>
      </c>
      <c r="E249" s="2" t="s">
        <v>107</v>
      </c>
      <c r="F249" s="2" t="s">
        <v>408</v>
      </c>
      <c r="G249" s="11" t="n">
        <v>62.9</v>
      </c>
      <c r="H249" s="11" t="n">
        <v>17.6</v>
      </c>
      <c r="I249" s="12" t="n">
        <v>10</v>
      </c>
      <c r="J249" s="11" t="n">
        <v>144.8</v>
      </c>
      <c r="K249" s="13" t="n">
        <v>71.6</v>
      </c>
      <c r="L249" s="2" t="s">
        <v>109</v>
      </c>
      <c r="M249" s="14" t="n">
        <v>2702</v>
      </c>
      <c r="N249" s="2" t="s">
        <v>73</v>
      </c>
      <c r="O249" s="14" t="n">
        <f aca="false">IFERROR(M249/I249,"")</f>
        <v>270.2</v>
      </c>
    </row>
    <row r="250" customFormat="false" ht="15" hidden="false" customHeight="false" outlineLevel="0" collapsed="false">
      <c r="A250" s="2" t="s">
        <v>548</v>
      </c>
      <c r="B250" s="2" t="s">
        <v>67</v>
      </c>
      <c r="C250" s="2" t="s">
        <v>68</v>
      </c>
      <c r="D250" s="2" t="s">
        <v>77</v>
      </c>
      <c r="E250" s="2" t="s">
        <v>107</v>
      </c>
      <c r="F250" s="2" t="s">
        <v>549</v>
      </c>
      <c r="G250" s="11" t="n">
        <v>60.2</v>
      </c>
      <c r="H250" s="11" t="n">
        <v>16.7</v>
      </c>
      <c r="I250" s="12" t="n">
        <v>6</v>
      </c>
      <c r="J250" s="11" t="n">
        <v>14.3</v>
      </c>
      <c r="K250" s="13" t="n">
        <v>69</v>
      </c>
      <c r="L250" s="2" t="s">
        <v>72</v>
      </c>
      <c r="M250" s="14" t="n">
        <v>4082</v>
      </c>
      <c r="N250" s="2" t="s">
        <v>80</v>
      </c>
      <c r="O250" s="14" t="n">
        <f aca="false">IFERROR(M250/I250,"")</f>
        <v>680.333333333333</v>
      </c>
    </row>
    <row r="251" customFormat="false" ht="15" hidden="false" customHeight="false" outlineLevel="0" collapsed="false">
      <c r="A251" s="2" t="s">
        <v>550</v>
      </c>
      <c r="B251" s="2" t="s">
        <v>82</v>
      </c>
      <c r="C251" s="2" t="s">
        <v>83</v>
      </c>
      <c r="D251" s="2" t="s">
        <v>77</v>
      </c>
      <c r="E251" s="2" t="s">
        <v>98</v>
      </c>
      <c r="F251" s="2" t="s">
        <v>551</v>
      </c>
      <c r="G251" s="11" t="n">
        <v>11.6</v>
      </c>
      <c r="H251" s="11" t="n">
        <v>10.6</v>
      </c>
      <c r="I251" s="12" t="n">
        <v>16</v>
      </c>
      <c r="J251" s="11" t="n">
        <v>51.2</v>
      </c>
      <c r="K251" s="13" t="n">
        <v>49.1</v>
      </c>
      <c r="L251" s="2" t="s">
        <v>104</v>
      </c>
      <c r="M251" s="14" t="n">
        <v>834</v>
      </c>
      <c r="N251" s="2" t="s">
        <v>80</v>
      </c>
      <c r="O251" s="14" t="n">
        <f aca="false">IFERROR(M251/I251,"")</f>
        <v>52.125</v>
      </c>
    </row>
    <row r="252" customFormat="false" ht="15" hidden="false" customHeight="false" outlineLevel="0" collapsed="false">
      <c r="A252" s="2" t="s">
        <v>552</v>
      </c>
      <c r="B252" s="2" t="s">
        <v>119</v>
      </c>
      <c r="C252" s="2" t="s">
        <v>102</v>
      </c>
      <c r="D252" s="2" t="s">
        <v>84</v>
      </c>
      <c r="E252" s="2" t="s">
        <v>78</v>
      </c>
      <c r="F252" s="2" t="s">
        <v>242</v>
      </c>
      <c r="G252" s="11" t="n">
        <v>33.5</v>
      </c>
      <c r="H252" s="11" t="n">
        <v>18.4</v>
      </c>
      <c r="I252" s="12" t="n">
        <v>6</v>
      </c>
      <c r="J252" s="11" t="n">
        <v>41.9</v>
      </c>
      <c r="K252" s="13" t="n">
        <v>86.3</v>
      </c>
      <c r="L252" s="2" t="s">
        <v>72</v>
      </c>
      <c r="M252" s="14" t="n">
        <v>6886</v>
      </c>
      <c r="N252" s="2" t="s">
        <v>73</v>
      </c>
      <c r="O252" s="14" t="n">
        <f aca="false">IFERROR(M252/I252,"")</f>
        <v>1147.66666666667</v>
      </c>
    </row>
    <row r="253" customFormat="false" ht="15" hidden="false" customHeight="false" outlineLevel="0" collapsed="false">
      <c r="A253" s="2" t="s">
        <v>553</v>
      </c>
      <c r="B253" s="2" t="s">
        <v>165</v>
      </c>
      <c r="C253" s="2" t="s">
        <v>68</v>
      </c>
      <c r="D253" s="2" t="s">
        <v>77</v>
      </c>
      <c r="E253" s="2" t="s">
        <v>70</v>
      </c>
      <c r="F253" s="2" t="s">
        <v>554</v>
      </c>
      <c r="G253" s="11" t="n">
        <v>50.2</v>
      </c>
      <c r="H253" s="11" t="n">
        <v>19.5</v>
      </c>
      <c r="I253" s="12" t="n">
        <v>18</v>
      </c>
      <c r="J253" s="11" t="n">
        <v>272.2</v>
      </c>
      <c r="K253" s="13" t="n">
        <v>85.7</v>
      </c>
      <c r="L253" s="2" t="s">
        <v>104</v>
      </c>
      <c r="M253" s="14" t="n">
        <v>3531</v>
      </c>
      <c r="N253" s="2" t="s">
        <v>73</v>
      </c>
      <c r="O253" s="14" t="n">
        <f aca="false">IFERROR(M253/I253,"")</f>
        <v>196.166666666667</v>
      </c>
    </row>
    <row r="254" customFormat="false" ht="15" hidden="false" customHeight="false" outlineLevel="0" collapsed="false">
      <c r="A254" s="2" t="s">
        <v>555</v>
      </c>
      <c r="B254" s="2" t="s">
        <v>106</v>
      </c>
      <c r="C254" s="2" t="s">
        <v>68</v>
      </c>
      <c r="D254" s="2" t="s">
        <v>69</v>
      </c>
      <c r="E254" s="2" t="s">
        <v>70</v>
      </c>
      <c r="F254" s="2" t="s">
        <v>399</v>
      </c>
      <c r="G254" s="11" t="n">
        <v>59</v>
      </c>
      <c r="H254" s="11" t="n">
        <v>14.3</v>
      </c>
      <c r="I254" s="12" t="n">
        <v>22</v>
      </c>
      <c r="J254" s="11" t="n">
        <v>345.3</v>
      </c>
      <c r="K254" s="13" t="n">
        <v>75.8</v>
      </c>
      <c r="L254" s="2" t="s">
        <v>104</v>
      </c>
      <c r="M254" s="14" t="n">
        <v>3657</v>
      </c>
      <c r="N254" s="2" t="s">
        <v>138</v>
      </c>
      <c r="O254" s="14" t="n">
        <f aca="false">IFERROR(M254/I254,"")</f>
        <v>166.227272727273</v>
      </c>
    </row>
    <row r="255" customFormat="false" ht="15" hidden="false" customHeight="false" outlineLevel="0" collapsed="false">
      <c r="A255" s="2" t="s">
        <v>556</v>
      </c>
      <c r="B255" s="2" t="s">
        <v>119</v>
      </c>
      <c r="C255" s="2" t="s">
        <v>102</v>
      </c>
      <c r="D255" s="2" t="s">
        <v>127</v>
      </c>
      <c r="E255" s="2" t="s">
        <v>98</v>
      </c>
      <c r="F255" s="2" t="s">
        <v>417</v>
      </c>
      <c r="G255" s="11" t="n">
        <v>39.5</v>
      </c>
      <c r="H255" s="11" t="n">
        <v>28.1</v>
      </c>
      <c r="I255" s="12" t="n">
        <v>14</v>
      </c>
      <c r="J255" s="11" t="n">
        <v>109.7</v>
      </c>
      <c r="K255" s="13" t="n">
        <v>92.6</v>
      </c>
      <c r="L255" s="2" t="s">
        <v>104</v>
      </c>
      <c r="M255" s="14" t="n">
        <v>9171</v>
      </c>
      <c r="N255" s="2" t="s">
        <v>73</v>
      </c>
      <c r="O255" s="14" t="n">
        <f aca="false">IFERROR(M255/I255,"")</f>
        <v>655.071428571429</v>
      </c>
    </row>
    <row r="256" customFormat="false" ht="15" hidden="false" customHeight="false" outlineLevel="0" collapsed="false">
      <c r="A256" s="2" t="s">
        <v>557</v>
      </c>
      <c r="B256" s="2" t="s">
        <v>75</v>
      </c>
      <c r="C256" s="2" t="s">
        <v>76</v>
      </c>
      <c r="D256" s="2" t="s">
        <v>69</v>
      </c>
      <c r="E256" s="2" t="s">
        <v>98</v>
      </c>
      <c r="F256" s="2" t="s">
        <v>558</v>
      </c>
      <c r="G256" s="11" t="n">
        <v>36.5</v>
      </c>
      <c r="H256" s="11" t="n">
        <v>23.8</v>
      </c>
      <c r="I256" s="12" t="n">
        <v>10</v>
      </c>
      <c r="J256" s="11" t="n">
        <v>83.5</v>
      </c>
      <c r="K256" s="13" t="n">
        <v>72</v>
      </c>
      <c r="L256" s="2" t="s">
        <v>87</v>
      </c>
      <c r="M256" s="14" t="n">
        <v>27201</v>
      </c>
      <c r="N256" s="2" t="s">
        <v>73</v>
      </c>
      <c r="O256" s="14" t="n">
        <f aca="false">IFERROR(M256/I256,"")</f>
        <v>2720.1</v>
      </c>
    </row>
    <row r="257" customFormat="false" ht="15" hidden="false" customHeight="false" outlineLevel="0" collapsed="false">
      <c r="A257" s="2" t="s">
        <v>559</v>
      </c>
      <c r="B257" s="2" t="s">
        <v>192</v>
      </c>
      <c r="C257" s="2" t="s">
        <v>126</v>
      </c>
      <c r="D257" s="2" t="s">
        <v>77</v>
      </c>
      <c r="E257" s="2" t="s">
        <v>78</v>
      </c>
      <c r="F257" s="2" t="s">
        <v>560</v>
      </c>
      <c r="G257" s="11" t="n">
        <v>369.1</v>
      </c>
      <c r="H257" s="11" t="n">
        <v>514.7</v>
      </c>
      <c r="I257" s="12" t="n">
        <v>13</v>
      </c>
      <c r="J257" s="11" t="n">
        <v>1035.8</v>
      </c>
      <c r="K257" s="13" t="n">
        <v>80.1</v>
      </c>
      <c r="L257" s="2" t="s">
        <v>104</v>
      </c>
      <c r="M257" s="14" t="n">
        <v>259402</v>
      </c>
      <c r="N257" s="2" t="s">
        <v>73</v>
      </c>
      <c r="O257" s="14" t="n">
        <f aca="false">IFERROR(M257/I257,"")</f>
        <v>19954</v>
      </c>
    </row>
    <row r="258" customFormat="false" ht="15" hidden="false" customHeight="false" outlineLevel="0" collapsed="false">
      <c r="A258" s="2" t="s">
        <v>561</v>
      </c>
      <c r="B258" s="2" t="s">
        <v>89</v>
      </c>
      <c r="C258" s="2" t="s">
        <v>83</v>
      </c>
      <c r="D258" s="2" t="s">
        <v>130</v>
      </c>
      <c r="E258" s="2" t="s">
        <v>98</v>
      </c>
      <c r="F258" s="2" t="s">
        <v>562</v>
      </c>
      <c r="G258" s="11" t="n">
        <v>14.5</v>
      </c>
      <c r="H258" s="11" t="n">
        <v>9.3</v>
      </c>
      <c r="I258" s="12" t="n">
        <v>46</v>
      </c>
      <c r="J258" s="11" t="n">
        <v>215.5</v>
      </c>
      <c r="K258" s="13" t="n">
        <v>53.9</v>
      </c>
      <c r="L258" s="2" t="s">
        <v>104</v>
      </c>
      <c r="M258" s="14" t="n">
        <v>580</v>
      </c>
      <c r="N258" s="2" t="s">
        <v>135</v>
      </c>
      <c r="O258" s="14" t="n">
        <f aca="false">IFERROR(M258/I258,"")</f>
        <v>12.6086956521739</v>
      </c>
    </row>
    <row r="259" customFormat="false" ht="15" hidden="false" customHeight="false" outlineLevel="0" collapsed="false">
      <c r="A259" s="2" t="s">
        <v>563</v>
      </c>
      <c r="B259" s="2" t="s">
        <v>101</v>
      </c>
      <c r="C259" s="2" t="s">
        <v>102</v>
      </c>
      <c r="D259" s="2" t="s">
        <v>77</v>
      </c>
      <c r="E259" s="2" t="s">
        <v>78</v>
      </c>
      <c r="F259" s="2" t="s">
        <v>365</v>
      </c>
      <c r="G259" s="11" t="n">
        <v>34.6</v>
      </c>
      <c r="H259" s="11" t="n">
        <v>20.5</v>
      </c>
      <c r="I259" s="12" t="n">
        <v>5</v>
      </c>
      <c r="J259" s="11" t="n">
        <v>47.6</v>
      </c>
      <c r="K259" s="13" t="n">
        <v>85.9</v>
      </c>
      <c r="L259" s="2" t="s">
        <v>72</v>
      </c>
      <c r="M259" s="14" t="n">
        <v>8005</v>
      </c>
      <c r="N259" s="2" t="s">
        <v>73</v>
      </c>
      <c r="O259" s="14" t="n">
        <f aca="false">IFERROR(M259/I259,"")</f>
        <v>1601</v>
      </c>
    </row>
    <row r="260" customFormat="false" ht="15" hidden="false" customHeight="false" outlineLevel="0" collapsed="false">
      <c r="A260" s="2" t="s">
        <v>564</v>
      </c>
      <c r="B260" s="2" t="s">
        <v>101</v>
      </c>
      <c r="C260" s="2" t="s">
        <v>102</v>
      </c>
      <c r="D260" s="2" t="s">
        <v>84</v>
      </c>
      <c r="E260" s="2" t="s">
        <v>90</v>
      </c>
      <c r="F260" s="2" t="s">
        <v>565</v>
      </c>
      <c r="G260" s="11" t="n">
        <v>31.8</v>
      </c>
      <c r="H260" s="11" t="n">
        <v>20.8</v>
      </c>
      <c r="I260" s="12" t="n">
        <v>8</v>
      </c>
      <c r="J260" s="11" t="n">
        <v>26.6</v>
      </c>
      <c r="K260" s="13" t="n">
        <v>84</v>
      </c>
      <c r="L260" s="2" t="s">
        <v>72</v>
      </c>
      <c r="M260" s="14" t="n">
        <v>6106</v>
      </c>
      <c r="N260" s="2" t="s">
        <v>73</v>
      </c>
      <c r="O260" s="14" t="n">
        <f aca="false">IFERROR(M260/I260,"")</f>
        <v>763.25</v>
      </c>
    </row>
    <row r="261" customFormat="false" ht="15" hidden="false" customHeight="false" outlineLevel="0" collapsed="false">
      <c r="A261" s="2" t="s">
        <v>566</v>
      </c>
      <c r="B261" s="2" t="s">
        <v>93</v>
      </c>
      <c r="C261" s="2" t="s">
        <v>83</v>
      </c>
      <c r="D261" s="2" t="s">
        <v>77</v>
      </c>
      <c r="E261" s="2" t="s">
        <v>78</v>
      </c>
      <c r="F261" s="2" t="s">
        <v>567</v>
      </c>
      <c r="G261" s="11" t="n">
        <v>13</v>
      </c>
      <c r="H261" s="11" t="n">
        <v>8.4</v>
      </c>
      <c r="I261" s="12" t="n">
        <v>12</v>
      </c>
      <c r="J261" s="11" t="n">
        <v>5.6</v>
      </c>
      <c r="K261" s="13" t="n">
        <v>47.8</v>
      </c>
      <c r="L261" s="2" t="s">
        <v>72</v>
      </c>
      <c r="M261" s="14" t="n">
        <v>745</v>
      </c>
      <c r="N261" s="2" t="s">
        <v>135</v>
      </c>
      <c r="O261" s="14" t="n">
        <f aca="false">IFERROR(M261/I261,"")</f>
        <v>62.0833333333333</v>
      </c>
    </row>
    <row r="262" customFormat="false" ht="15" hidden="false" customHeight="false" outlineLevel="0" collapsed="false">
      <c r="A262" s="2" t="s">
        <v>568</v>
      </c>
      <c r="B262" s="2" t="s">
        <v>101</v>
      </c>
      <c r="C262" s="2" t="s">
        <v>102</v>
      </c>
      <c r="D262" s="2" t="s">
        <v>69</v>
      </c>
      <c r="E262" s="2" t="s">
        <v>78</v>
      </c>
      <c r="F262" s="2" t="s">
        <v>151</v>
      </c>
      <c r="G262" s="11" t="n">
        <v>38.8</v>
      </c>
      <c r="H262" s="11" t="n">
        <v>21.9</v>
      </c>
      <c r="I262" s="12" t="n">
        <v>16</v>
      </c>
      <c r="J262" s="11" t="n">
        <v>28.2</v>
      </c>
      <c r="K262" s="13" t="n">
        <v>77.8</v>
      </c>
      <c r="L262" s="2" t="s">
        <v>72</v>
      </c>
      <c r="M262" s="14" t="n">
        <v>6703</v>
      </c>
      <c r="N262" s="2" t="s">
        <v>73</v>
      </c>
      <c r="O262" s="14" t="n">
        <f aca="false">IFERROR(M262/I262,"")</f>
        <v>418.9375</v>
      </c>
    </row>
    <row r="263" customFormat="false" ht="15" hidden="false" customHeight="false" outlineLevel="0" collapsed="false">
      <c r="A263" s="2" t="s">
        <v>569</v>
      </c>
      <c r="B263" s="2" t="s">
        <v>89</v>
      </c>
      <c r="C263" s="2" t="s">
        <v>83</v>
      </c>
      <c r="D263" s="2" t="s">
        <v>77</v>
      </c>
      <c r="E263" s="2" t="s">
        <v>116</v>
      </c>
      <c r="F263" s="2" t="s">
        <v>570</v>
      </c>
      <c r="G263" s="11" t="n">
        <v>13.2</v>
      </c>
      <c r="H263" s="11" t="n">
        <v>10.4</v>
      </c>
      <c r="I263" s="12" t="n">
        <v>23</v>
      </c>
      <c r="J263" s="11" t="n">
        <v>18.8</v>
      </c>
      <c r="K263" s="13" t="n">
        <v>67.8</v>
      </c>
      <c r="L263" s="2" t="s">
        <v>87</v>
      </c>
      <c r="M263" s="14" t="n">
        <v>665</v>
      </c>
      <c r="N263" s="2" t="s">
        <v>73</v>
      </c>
      <c r="O263" s="14" t="n">
        <f aca="false">IFERROR(M263/I263,"")</f>
        <v>28.9130434782609</v>
      </c>
    </row>
    <row r="264" customFormat="false" ht="15" hidden="false" customHeight="false" outlineLevel="0" collapsed="false">
      <c r="A264" s="2" t="s">
        <v>571</v>
      </c>
      <c r="B264" s="2" t="s">
        <v>89</v>
      </c>
      <c r="C264" s="2" t="s">
        <v>83</v>
      </c>
      <c r="D264" s="2" t="s">
        <v>77</v>
      </c>
      <c r="E264" s="2" t="s">
        <v>85</v>
      </c>
      <c r="F264" s="2" t="s">
        <v>437</v>
      </c>
      <c r="G264" s="11" t="n">
        <v>13.7</v>
      </c>
      <c r="H264" s="11" t="n">
        <v>12</v>
      </c>
      <c r="I264" s="12" t="n">
        <v>9</v>
      </c>
      <c r="J264" s="11" t="n">
        <v>13.2</v>
      </c>
      <c r="K264" s="13" t="n">
        <v>62.9</v>
      </c>
      <c r="L264" s="2" t="s">
        <v>87</v>
      </c>
      <c r="M264" s="14" t="n">
        <v>706</v>
      </c>
      <c r="N264" s="2" t="s">
        <v>80</v>
      </c>
      <c r="O264" s="14" t="n">
        <f aca="false">IFERROR(M264/I264,"")</f>
        <v>78.4444444444444</v>
      </c>
    </row>
    <row r="265" customFormat="false" ht="15" hidden="false" customHeight="false" outlineLevel="0" collapsed="false">
      <c r="A265" s="2" t="s">
        <v>572</v>
      </c>
      <c r="B265" s="2" t="s">
        <v>96</v>
      </c>
      <c r="C265" s="2" t="s">
        <v>97</v>
      </c>
      <c r="D265" s="2" t="s">
        <v>84</v>
      </c>
      <c r="E265" s="2" t="s">
        <v>70</v>
      </c>
      <c r="F265" s="2" t="s">
        <v>573</v>
      </c>
      <c r="G265" s="11" t="n">
        <v>24.8</v>
      </c>
      <c r="H265" s="11" t="n">
        <v>35</v>
      </c>
      <c r="I265" s="12" t="n">
        <v>21</v>
      </c>
      <c r="J265" s="11" t="n">
        <v>63.5</v>
      </c>
      <c r="K265" s="13" t="n">
        <v>60.6</v>
      </c>
      <c r="L265" s="2" t="s">
        <v>87</v>
      </c>
      <c r="M265" s="14" t="n">
        <v>17494</v>
      </c>
      <c r="N265" s="2" t="s">
        <v>73</v>
      </c>
      <c r="O265" s="14" t="n">
        <f aca="false">IFERROR(M265/I265,"")</f>
        <v>833.047619047619</v>
      </c>
    </row>
    <row r="266" customFormat="false" ht="15" hidden="false" customHeight="false" outlineLevel="0" collapsed="false">
      <c r="A266" s="2" t="s">
        <v>574</v>
      </c>
      <c r="B266" s="2" t="s">
        <v>75</v>
      </c>
      <c r="C266" s="2" t="s">
        <v>76</v>
      </c>
      <c r="D266" s="2" t="s">
        <v>77</v>
      </c>
      <c r="E266" s="2" t="s">
        <v>78</v>
      </c>
      <c r="F266" s="2" t="s">
        <v>86</v>
      </c>
      <c r="G266" s="11" t="n">
        <v>45.2</v>
      </c>
      <c r="H266" s="11" t="n">
        <v>22</v>
      </c>
      <c r="I266" s="12" t="n">
        <v>2</v>
      </c>
      <c r="J266" s="11" t="n">
        <v>6.3</v>
      </c>
      <c r="K266" s="13" t="n">
        <v>51.2</v>
      </c>
      <c r="L266" s="2" t="s">
        <v>109</v>
      </c>
      <c r="M266" s="14" t="n">
        <v>21786</v>
      </c>
      <c r="N266" s="2" t="s">
        <v>73</v>
      </c>
      <c r="O266" s="14" t="n">
        <f aca="false">IFERROR(M266/I266,"")</f>
        <v>10893</v>
      </c>
    </row>
    <row r="267" customFormat="false" ht="15" hidden="false" customHeight="false" outlineLevel="0" collapsed="false">
      <c r="A267" s="2" t="s">
        <v>575</v>
      </c>
      <c r="B267" s="2" t="s">
        <v>165</v>
      </c>
      <c r="C267" s="2" t="s">
        <v>68</v>
      </c>
      <c r="D267" s="2" t="s">
        <v>122</v>
      </c>
      <c r="E267" s="2" t="s">
        <v>78</v>
      </c>
      <c r="F267" s="2" t="s">
        <v>238</v>
      </c>
      <c r="G267" s="11" t="n">
        <v>50.6</v>
      </c>
      <c r="H267" s="11" t="n">
        <v>20.1</v>
      </c>
      <c r="I267" s="12" t="n">
        <v>10</v>
      </c>
      <c r="J267" s="11" t="n">
        <v>140.3</v>
      </c>
      <c r="K267" s="13" t="n">
        <v>80.6</v>
      </c>
      <c r="L267" s="2" t="s">
        <v>104</v>
      </c>
      <c r="M267" s="14" t="n">
        <v>3181</v>
      </c>
      <c r="N267" s="2" t="s">
        <v>73</v>
      </c>
      <c r="O267" s="14" t="n">
        <f aca="false">IFERROR(M267/I267,"")</f>
        <v>318.1</v>
      </c>
    </row>
    <row r="268" customFormat="false" ht="15" hidden="false" customHeight="false" outlineLevel="0" collapsed="false">
      <c r="A268" s="2" t="s">
        <v>576</v>
      </c>
      <c r="B268" s="2" t="s">
        <v>89</v>
      </c>
      <c r="C268" s="2" t="s">
        <v>83</v>
      </c>
      <c r="D268" s="2" t="s">
        <v>127</v>
      </c>
      <c r="E268" s="2" t="s">
        <v>107</v>
      </c>
      <c r="F268" s="2" t="s">
        <v>180</v>
      </c>
      <c r="G268" s="11" t="n">
        <v>14.4</v>
      </c>
      <c r="H268" s="11" t="n">
        <v>8.5</v>
      </c>
      <c r="I268" s="12" t="n">
        <v>29</v>
      </c>
      <c r="J268" s="11" t="n">
        <v>129.5</v>
      </c>
      <c r="K268" s="13" t="n">
        <v>42.2</v>
      </c>
      <c r="L268" s="2" t="s">
        <v>109</v>
      </c>
      <c r="M268" s="14" t="n">
        <v>572</v>
      </c>
      <c r="N268" s="2" t="s">
        <v>80</v>
      </c>
      <c r="O268" s="14" t="n">
        <f aca="false">IFERROR(M268/I268,"")</f>
        <v>19.7241379310345</v>
      </c>
    </row>
    <row r="269" customFormat="false" ht="15" hidden="false" customHeight="false" outlineLevel="0" collapsed="false">
      <c r="A269" s="2" t="s">
        <v>577</v>
      </c>
      <c r="B269" s="2" t="s">
        <v>67</v>
      </c>
      <c r="C269" s="2" t="s">
        <v>68</v>
      </c>
      <c r="D269" s="2" t="s">
        <v>77</v>
      </c>
      <c r="E269" s="2" t="s">
        <v>107</v>
      </c>
      <c r="F269" s="2" t="s">
        <v>578</v>
      </c>
      <c r="G269" s="11" t="n">
        <v>55.9</v>
      </c>
      <c r="H269" s="11" t="n">
        <v>19.3</v>
      </c>
      <c r="I269" s="12" t="n">
        <v>15</v>
      </c>
      <c r="J269" s="11" t="n">
        <v>191</v>
      </c>
      <c r="K269" s="13" t="n">
        <v>76.9</v>
      </c>
      <c r="L269" s="2" t="s">
        <v>104</v>
      </c>
      <c r="M269" s="14" t="n">
        <v>4144</v>
      </c>
      <c r="N269" s="2" t="s">
        <v>73</v>
      </c>
      <c r="O269" s="14" t="n">
        <f aca="false">IFERROR(M269/I269,"")</f>
        <v>276.266666666667</v>
      </c>
    </row>
    <row r="270" customFormat="false" ht="15" hidden="false" customHeight="false" outlineLevel="0" collapsed="false">
      <c r="A270" s="2" t="s">
        <v>579</v>
      </c>
      <c r="B270" s="2" t="s">
        <v>119</v>
      </c>
      <c r="C270" s="2" t="s">
        <v>102</v>
      </c>
      <c r="D270" s="2" t="s">
        <v>69</v>
      </c>
      <c r="E270" s="2" t="s">
        <v>78</v>
      </c>
      <c r="F270" s="2" t="s">
        <v>286</v>
      </c>
      <c r="G270" s="11" t="n">
        <v>33.8</v>
      </c>
      <c r="H270" s="11" t="n">
        <v>17.4</v>
      </c>
      <c r="I270" s="12" t="n">
        <v>13</v>
      </c>
      <c r="J270" s="11" t="n">
        <v>116.5</v>
      </c>
      <c r="K270" s="13" t="n">
        <v>94.6</v>
      </c>
      <c r="L270" s="2" t="s">
        <v>104</v>
      </c>
      <c r="M270" s="14" t="n">
        <v>7951</v>
      </c>
      <c r="N270" s="2" t="s">
        <v>73</v>
      </c>
      <c r="O270" s="14" t="n">
        <f aca="false">IFERROR(M270/I270,"")</f>
        <v>611.615384615385</v>
      </c>
    </row>
    <row r="271" customFormat="false" ht="15" hidden="false" customHeight="false" outlineLevel="0" collapsed="false">
      <c r="A271" s="2" t="s">
        <v>580</v>
      </c>
      <c r="B271" s="2" t="s">
        <v>82</v>
      </c>
      <c r="C271" s="2" t="s">
        <v>83</v>
      </c>
      <c r="D271" s="2" t="s">
        <v>130</v>
      </c>
      <c r="E271" s="2" t="s">
        <v>107</v>
      </c>
      <c r="F271" s="2" t="s">
        <v>581</v>
      </c>
      <c r="G271" s="11" t="n">
        <v>12.3</v>
      </c>
      <c r="H271" s="11" t="n">
        <v>8</v>
      </c>
      <c r="I271" s="12" t="n">
        <v>13</v>
      </c>
      <c r="J271" s="11" t="n">
        <v>18.7</v>
      </c>
      <c r="K271" s="13" t="n">
        <v>38.3</v>
      </c>
      <c r="L271" s="2" t="s">
        <v>109</v>
      </c>
      <c r="M271" s="14" t="n">
        <v>657</v>
      </c>
      <c r="N271" s="2" t="s">
        <v>135</v>
      </c>
      <c r="O271" s="14" t="n">
        <f aca="false">IFERROR(M271/I271,"")</f>
        <v>50.5384615384615</v>
      </c>
    </row>
    <row r="272" customFormat="false" ht="15" hidden="false" customHeight="false" outlineLevel="0" collapsed="false">
      <c r="A272" s="2" t="s">
        <v>582</v>
      </c>
      <c r="B272" s="2" t="s">
        <v>67</v>
      </c>
      <c r="C272" s="2" t="s">
        <v>68</v>
      </c>
      <c r="D272" s="2" t="s">
        <v>77</v>
      </c>
      <c r="E272" s="2" t="s">
        <v>78</v>
      </c>
      <c r="F272" s="2" t="s">
        <v>312</v>
      </c>
      <c r="G272" s="11" t="n">
        <v>54</v>
      </c>
      <c r="H272" s="11" t="n">
        <v>13.5</v>
      </c>
      <c r="I272" s="12" t="n">
        <v>15</v>
      </c>
      <c r="J272" s="11" t="n">
        <v>116.9</v>
      </c>
      <c r="K272" s="13" t="n">
        <v>64.8</v>
      </c>
      <c r="L272" s="2" t="s">
        <v>109</v>
      </c>
      <c r="M272" s="14" t="n">
        <v>3998</v>
      </c>
      <c r="N272" s="2" t="s">
        <v>73</v>
      </c>
      <c r="O272" s="14" t="n">
        <f aca="false">IFERROR(M272/I272,"")</f>
        <v>266.533333333333</v>
      </c>
    </row>
    <row r="273" customFormat="false" ht="15" hidden="false" customHeight="false" outlineLevel="0" collapsed="false">
      <c r="A273" s="2" t="s">
        <v>583</v>
      </c>
      <c r="B273" s="2" t="s">
        <v>101</v>
      </c>
      <c r="C273" s="2" t="s">
        <v>102</v>
      </c>
      <c r="D273" s="2" t="s">
        <v>84</v>
      </c>
      <c r="E273" s="2" t="s">
        <v>78</v>
      </c>
      <c r="F273" s="2" t="s">
        <v>163</v>
      </c>
      <c r="G273" s="11" t="n">
        <v>34.2</v>
      </c>
      <c r="H273" s="11" t="n">
        <v>17.3</v>
      </c>
      <c r="I273" s="12" t="n">
        <v>4</v>
      </c>
      <c r="J273" s="11" t="n">
        <v>42</v>
      </c>
      <c r="K273" s="13" t="n">
        <v>70.7</v>
      </c>
      <c r="L273" s="2" t="s">
        <v>72</v>
      </c>
      <c r="M273" s="14" t="n">
        <v>10563</v>
      </c>
      <c r="N273" s="2" t="s">
        <v>135</v>
      </c>
      <c r="O273" s="14" t="n">
        <f aca="false">IFERROR(M273/I273,"")</f>
        <v>2640.75</v>
      </c>
    </row>
    <row r="274" customFormat="false" ht="15" hidden="false" customHeight="false" outlineLevel="0" collapsed="false">
      <c r="A274" s="2" t="s">
        <v>584</v>
      </c>
      <c r="B274" s="2" t="s">
        <v>101</v>
      </c>
      <c r="C274" s="2" t="s">
        <v>102</v>
      </c>
      <c r="D274" s="2" t="s">
        <v>77</v>
      </c>
      <c r="E274" s="2" t="s">
        <v>85</v>
      </c>
      <c r="F274" s="2" t="s">
        <v>585</v>
      </c>
      <c r="G274" s="11" t="n">
        <v>40.8</v>
      </c>
      <c r="H274" s="11" t="n">
        <v>28.8</v>
      </c>
      <c r="I274" s="12" t="n">
        <v>23</v>
      </c>
      <c r="J274" s="11" t="n">
        <v>151.5</v>
      </c>
      <c r="K274" s="13" t="n">
        <v>90.1</v>
      </c>
      <c r="L274" s="2" t="s">
        <v>87</v>
      </c>
      <c r="M274" s="14" t="n">
        <v>10338</v>
      </c>
      <c r="N274" s="2" t="s">
        <v>135</v>
      </c>
      <c r="O274" s="14" t="n">
        <f aca="false">IFERROR(M274/I274,"")</f>
        <v>449.478260869565</v>
      </c>
    </row>
    <row r="275" customFormat="false" ht="15" hidden="false" customHeight="false" outlineLevel="0" collapsed="false">
      <c r="A275" s="2" t="s">
        <v>586</v>
      </c>
      <c r="B275" s="2" t="s">
        <v>192</v>
      </c>
      <c r="C275" s="2" t="s">
        <v>126</v>
      </c>
      <c r="D275" s="2" t="s">
        <v>122</v>
      </c>
      <c r="E275" s="2" t="s">
        <v>90</v>
      </c>
      <c r="F275" s="2" t="s">
        <v>218</v>
      </c>
      <c r="G275" s="11" t="n">
        <v>367.2</v>
      </c>
      <c r="H275" s="11" t="n">
        <v>569.8</v>
      </c>
      <c r="I275" s="12" t="n">
        <v>10</v>
      </c>
      <c r="J275" s="11" t="n">
        <v>746.5</v>
      </c>
      <c r="K275" s="13" t="n">
        <v>66.5</v>
      </c>
      <c r="L275" s="2" t="s">
        <v>72</v>
      </c>
      <c r="M275" s="14" t="n">
        <v>132575</v>
      </c>
      <c r="N275" s="2" t="s">
        <v>73</v>
      </c>
      <c r="O275" s="14" t="n">
        <f aca="false">IFERROR(M275/I275,"")</f>
        <v>13257.5</v>
      </c>
    </row>
    <row r="276" customFormat="false" ht="15" hidden="false" customHeight="false" outlineLevel="0" collapsed="false">
      <c r="A276" s="2" t="s">
        <v>587</v>
      </c>
      <c r="B276" s="2" t="s">
        <v>89</v>
      </c>
      <c r="C276" s="2" t="s">
        <v>83</v>
      </c>
      <c r="D276" s="2" t="s">
        <v>77</v>
      </c>
      <c r="E276" s="2" t="s">
        <v>98</v>
      </c>
      <c r="F276" s="2" t="s">
        <v>588</v>
      </c>
      <c r="G276" s="11" t="n">
        <v>15.4</v>
      </c>
      <c r="H276" s="11" t="n">
        <v>11.2</v>
      </c>
      <c r="I276" s="12" t="n">
        <v>11</v>
      </c>
      <c r="J276" s="11" t="n">
        <v>41.7</v>
      </c>
      <c r="K276" s="13" t="n">
        <v>64.7</v>
      </c>
      <c r="L276" s="2" t="s">
        <v>87</v>
      </c>
      <c r="M276" s="14" t="n">
        <v>517</v>
      </c>
      <c r="N276" s="2" t="s">
        <v>80</v>
      </c>
      <c r="O276" s="14" t="n">
        <f aca="false">IFERROR(M276/I276,"")</f>
        <v>47</v>
      </c>
    </row>
    <row r="277" customFormat="false" ht="15" hidden="false" customHeight="false" outlineLevel="0" collapsed="false">
      <c r="A277" s="2" t="s">
        <v>589</v>
      </c>
      <c r="B277" s="2" t="s">
        <v>75</v>
      </c>
      <c r="C277" s="2" t="s">
        <v>76</v>
      </c>
      <c r="D277" s="2" t="s">
        <v>77</v>
      </c>
      <c r="E277" s="2" t="s">
        <v>90</v>
      </c>
      <c r="F277" s="2" t="s">
        <v>590</v>
      </c>
      <c r="G277" s="11" t="n">
        <v>48.8</v>
      </c>
      <c r="H277" s="11" t="n">
        <v>27.3</v>
      </c>
      <c r="I277" s="12" t="n">
        <v>11</v>
      </c>
      <c r="J277" s="11" t="n">
        <v>128.2</v>
      </c>
      <c r="K277" s="13" t="n">
        <v>60.6</v>
      </c>
      <c r="L277" s="2" t="s">
        <v>72</v>
      </c>
      <c r="M277" s="14" t="n">
        <v>23471</v>
      </c>
      <c r="N277" s="2" t="s">
        <v>73</v>
      </c>
      <c r="O277" s="14" t="n">
        <f aca="false">IFERROR(M277/I277,"")</f>
        <v>2133.72727272727</v>
      </c>
    </row>
    <row r="278" customFormat="false" ht="15" hidden="false" customHeight="false" outlineLevel="0" collapsed="false">
      <c r="A278" s="2" t="s">
        <v>591</v>
      </c>
      <c r="B278" s="2" t="s">
        <v>67</v>
      </c>
      <c r="C278" s="2" t="s">
        <v>68</v>
      </c>
      <c r="D278" s="2" t="s">
        <v>127</v>
      </c>
      <c r="E278" s="2" t="s">
        <v>107</v>
      </c>
      <c r="F278" s="2" t="s">
        <v>592</v>
      </c>
      <c r="G278" s="11" t="n">
        <v>59.7</v>
      </c>
      <c r="H278" s="11" t="n">
        <v>17.8</v>
      </c>
      <c r="I278" s="12" t="n">
        <v>13</v>
      </c>
      <c r="J278" s="11" t="n">
        <v>150.5</v>
      </c>
      <c r="K278" s="13" t="n">
        <v>76.8</v>
      </c>
      <c r="L278" s="2" t="s">
        <v>72</v>
      </c>
      <c r="M278" s="14" t="n">
        <v>3876</v>
      </c>
      <c r="N278" s="2" t="s">
        <v>73</v>
      </c>
      <c r="O278" s="14" t="n">
        <f aca="false">IFERROR(M278/I278,"")</f>
        <v>298.153846153846</v>
      </c>
    </row>
    <row r="279" customFormat="false" ht="15" hidden="false" customHeight="false" outlineLevel="0" collapsed="false">
      <c r="A279" s="2" t="s">
        <v>593</v>
      </c>
      <c r="B279" s="2" t="s">
        <v>106</v>
      </c>
      <c r="C279" s="2" t="s">
        <v>68</v>
      </c>
      <c r="D279" s="2" t="s">
        <v>77</v>
      </c>
      <c r="E279" s="2" t="s">
        <v>90</v>
      </c>
      <c r="F279" s="2" t="s">
        <v>594</v>
      </c>
      <c r="G279" s="11" t="n">
        <v>60.4</v>
      </c>
      <c r="H279" s="11" t="n">
        <v>16.8</v>
      </c>
      <c r="I279" s="12" t="n">
        <v>11</v>
      </c>
      <c r="J279" s="11" t="n">
        <v>191</v>
      </c>
      <c r="K279" s="13" t="n">
        <v>69.2</v>
      </c>
      <c r="L279" s="2" t="s">
        <v>109</v>
      </c>
      <c r="M279" s="14" t="n">
        <v>3680</v>
      </c>
      <c r="N279" s="2" t="s">
        <v>80</v>
      </c>
      <c r="O279" s="14" t="n">
        <f aca="false">IFERROR(M279/I279,"")</f>
        <v>334.545454545455</v>
      </c>
    </row>
    <row r="280" customFormat="false" ht="15" hidden="false" customHeight="false" outlineLevel="0" collapsed="false">
      <c r="A280" s="2" t="s">
        <v>595</v>
      </c>
      <c r="B280" s="2" t="s">
        <v>93</v>
      </c>
      <c r="C280" s="2" t="s">
        <v>83</v>
      </c>
      <c r="D280" s="2" t="s">
        <v>130</v>
      </c>
      <c r="E280" s="2" t="s">
        <v>85</v>
      </c>
      <c r="F280" s="2" t="s">
        <v>596</v>
      </c>
      <c r="G280" s="11" t="n">
        <v>13.4</v>
      </c>
      <c r="H280" s="11" t="n">
        <v>7.9</v>
      </c>
      <c r="I280" s="12" t="n">
        <v>6</v>
      </c>
      <c r="J280" s="11" t="n">
        <v>18.2</v>
      </c>
      <c r="K280" s="13" t="n">
        <v>56</v>
      </c>
      <c r="L280" s="2" t="s">
        <v>104</v>
      </c>
      <c r="M280" s="14" t="n">
        <v>809</v>
      </c>
      <c r="N280" s="2" t="s">
        <v>73</v>
      </c>
      <c r="O280" s="14" t="n">
        <f aca="false">IFERROR(M280/I280,"")</f>
        <v>134.833333333333</v>
      </c>
    </row>
    <row r="281" customFormat="false" ht="15" hidden="false" customHeight="false" outlineLevel="0" collapsed="false">
      <c r="A281" s="2" t="s">
        <v>597</v>
      </c>
      <c r="B281" s="2" t="s">
        <v>93</v>
      </c>
      <c r="C281" s="2" t="s">
        <v>83</v>
      </c>
      <c r="D281" s="2" t="s">
        <v>69</v>
      </c>
      <c r="E281" s="2" t="s">
        <v>116</v>
      </c>
      <c r="F281" s="2" t="s">
        <v>396</v>
      </c>
      <c r="G281" s="11" t="n">
        <v>14.8</v>
      </c>
      <c r="H281" s="11" t="n">
        <v>5.5</v>
      </c>
      <c r="I281" s="12" t="n">
        <v>32</v>
      </c>
      <c r="J281" s="11" t="n">
        <v>71.3</v>
      </c>
      <c r="K281" s="13" t="n">
        <v>48</v>
      </c>
      <c r="L281" s="2" t="s">
        <v>72</v>
      </c>
      <c r="M281" s="14" t="n">
        <v>837</v>
      </c>
      <c r="N281" s="2" t="s">
        <v>138</v>
      </c>
      <c r="O281" s="14" t="n">
        <f aca="false">IFERROR(M281/I281,"")</f>
        <v>26.15625</v>
      </c>
    </row>
    <row r="282" customFormat="false" ht="15" hidden="false" customHeight="false" outlineLevel="0" collapsed="false">
      <c r="A282" s="2" t="s">
        <v>598</v>
      </c>
      <c r="B282" s="2" t="s">
        <v>125</v>
      </c>
      <c r="C282" s="2" t="s">
        <v>126</v>
      </c>
      <c r="D282" s="2" t="s">
        <v>77</v>
      </c>
      <c r="E282" s="2" t="s">
        <v>107</v>
      </c>
      <c r="F282" s="2" t="s">
        <v>599</v>
      </c>
      <c r="G282" s="11" t="n">
        <v>444.7</v>
      </c>
      <c r="H282" s="11" t="n">
        <v>547.3</v>
      </c>
      <c r="I282" s="12" t="n">
        <v>21</v>
      </c>
      <c r="J282" s="11" t="n">
        <v>1776.4</v>
      </c>
      <c r="K282" s="13" t="n">
        <v>64.7</v>
      </c>
      <c r="L282" s="2" t="s">
        <v>72</v>
      </c>
      <c r="M282" s="14" t="n">
        <v>177453</v>
      </c>
      <c r="N282" s="2" t="s">
        <v>73</v>
      </c>
      <c r="O282" s="14" t="n">
        <f aca="false">IFERROR(M282/I282,"")</f>
        <v>8450.14285714286</v>
      </c>
    </row>
    <row r="283" customFormat="false" ht="15" hidden="false" customHeight="false" outlineLevel="0" collapsed="false">
      <c r="A283" s="2" t="s">
        <v>600</v>
      </c>
      <c r="B283" s="2" t="s">
        <v>165</v>
      </c>
      <c r="C283" s="2" t="s">
        <v>68</v>
      </c>
      <c r="D283" s="2" t="s">
        <v>127</v>
      </c>
      <c r="E283" s="2" t="s">
        <v>85</v>
      </c>
      <c r="F283" s="2" t="s">
        <v>601</v>
      </c>
      <c r="G283" s="11" t="n">
        <v>42.3</v>
      </c>
      <c r="H283" s="11" t="n">
        <v>17.2</v>
      </c>
      <c r="I283" s="12" t="n">
        <v>13</v>
      </c>
      <c r="J283" s="11" t="n">
        <v>40.7</v>
      </c>
      <c r="K283" s="13" t="n">
        <v>88.9</v>
      </c>
      <c r="L283" s="2" t="s">
        <v>87</v>
      </c>
      <c r="M283" s="14" t="n">
        <v>3618</v>
      </c>
      <c r="N283" s="2" t="s">
        <v>138</v>
      </c>
      <c r="O283" s="14" t="n">
        <f aca="false">IFERROR(M283/I283,"")</f>
        <v>278.307692307692</v>
      </c>
    </row>
    <row r="284" customFormat="false" ht="15" hidden="false" customHeight="false" outlineLevel="0" collapsed="false">
      <c r="A284" s="2" t="s">
        <v>602</v>
      </c>
      <c r="B284" s="2" t="s">
        <v>165</v>
      </c>
      <c r="C284" s="2" t="s">
        <v>68</v>
      </c>
      <c r="D284" s="2" t="s">
        <v>77</v>
      </c>
      <c r="E284" s="2" t="s">
        <v>98</v>
      </c>
      <c r="F284" s="2" t="s">
        <v>603</v>
      </c>
      <c r="G284" s="11" t="n">
        <v>52.2</v>
      </c>
      <c r="H284" s="11" t="n">
        <v>16</v>
      </c>
      <c r="I284" s="12" t="n">
        <v>33</v>
      </c>
      <c r="J284" s="11" t="n">
        <v>365.4</v>
      </c>
      <c r="K284" s="13" t="n">
        <v>93.6</v>
      </c>
      <c r="L284" s="2" t="s">
        <v>87</v>
      </c>
      <c r="M284" s="14" t="n">
        <v>4212</v>
      </c>
      <c r="N284" s="2" t="s">
        <v>135</v>
      </c>
      <c r="O284" s="14" t="n">
        <f aca="false">IFERROR(M284/I284,"")</f>
        <v>127.636363636364</v>
      </c>
    </row>
    <row r="285" customFormat="false" ht="15" hidden="false" customHeight="false" outlineLevel="0" collapsed="false">
      <c r="A285" s="2" t="s">
        <v>604</v>
      </c>
      <c r="B285" s="2" t="s">
        <v>111</v>
      </c>
      <c r="C285" s="2" t="s">
        <v>76</v>
      </c>
      <c r="D285" s="2" t="s">
        <v>127</v>
      </c>
      <c r="E285" s="2" t="s">
        <v>78</v>
      </c>
      <c r="F285" s="2" t="s">
        <v>128</v>
      </c>
      <c r="G285" s="11" t="n">
        <v>34.7</v>
      </c>
      <c r="H285" s="11" t="n">
        <v>18.5</v>
      </c>
      <c r="I285" s="12" t="n">
        <v>15</v>
      </c>
      <c r="J285" s="11" t="n">
        <v>129.1</v>
      </c>
      <c r="K285" s="13" t="n">
        <v>75.7</v>
      </c>
      <c r="L285" s="2" t="s">
        <v>72</v>
      </c>
      <c r="M285" s="14" t="n">
        <v>25575</v>
      </c>
      <c r="N285" s="2" t="s">
        <v>138</v>
      </c>
      <c r="O285" s="14" t="n">
        <f aca="false">IFERROR(M285/I285,"")</f>
        <v>1705</v>
      </c>
    </row>
    <row r="286" customFormat="false" ht="15" hidden="false" customHeight="false" outlineLevel="0" collapsed="false">
      <c r="A286" s="2" t="s">
        <v>605</v>
      </c>
      <c r="B286" s="2" t="s">
        <v>119</v>
      </c>
      <c r="C286" s="2" t="s">
        <v>102</v>
      </c>
      <c r="D286" s="2" t="s">
        <v>84</v>
      </c>
      <c r="E286" s="2" t="s">
        <v>70</v>
      </c>
      <c r="F286" s="2" t="s">
        <v>606</v>
      </c>
      <c r="G286" s="11" t="n">
        <v>26.5</v>
      </c>
      <c r="H286" s="11" t="n">
        <v>24.6</v>
      </c>
      <c r="I286" s="12" t="n">
        <v>8</v>
      </c>
      <c r="J286" s="11" t="n">
        <v>44.6</v>
      </c>
      <c r="K286" s="13" t="n">
        <v>74.6</v>
      </c>
      <c r="L286" s="2" t="s">
        <v>72</v>
      </c>
      <c r="M286" s="14" t="n">
        <v>6905</v>
      </c>
      <c r="N286" s="2" t="s">
        <v>73</v>
      </c>
      <c r="O286" s="14" t="n">
        <f aca="false">IFERROR(M286/I286,"")</f>
        <v>863.125</v>
      </c>
    </row>
    <row r="287" customFormat="false" ht="15" hidden="false" customHeight="false" outlineLevel="0" collapsed="false">
      <c r="A287" s="2" t="s">
        <v>607</v>
      </c>
      <c r="B287" s="2" t="s">
        <v>119</v>
      </c>
      <c r="C287" s="2" t="s">
        <v>102</v>
      </c>
      <c r="D287" s="2" t="s">
        <v>84</v>
      </c>
      <c r="E287" s="2" t="s">
        <v>107</v>
      </c>
      <c r="F287" s="2" t="s">
        <v>608</v>
      </c>
      <c r="G287" s="11" t="n">
        <v>35.7</v>
      </c>
      <c r="H287" s="11" t="n">
        <v>23.5</v>
      </c>
      <c r="I287" s="12" t="n">
        <v>13</v>
      </c>
      <c r="J287" s="11" t="n">
        <v>47.8</v>
      </c>
      <c r="K287" s="13" t="n">
        <v>75.4</v>
      </c>
      <c r="L287" s="2" t="s">
        <v>72</v>
      </c>
      <c r="M287" s="14" t="n">
        <v>6442</v>
      </c>
      <c r="N287" s="2" t="s">
        <v>135</v>
      </c>
      <c r="O287" s="14" t="n">
        <f aca="false">IFERROR(M287/I287,"")</f>
        <v>495.538461538462</v>
      </c>
    </row>
    <row r="288" customFormat="false" ht="15" hidden="false" customHeight="false" outlineLevel="0" collapsed="false">
      <c r="A288" s="2" t="s">
        <v>609</v>
      </c>
      <c r="B288" s="2" t="s">
        <v>192</v>
      </c>
      <c r="C288" s="2" t="s">
        <v>126</v>
      </c>
      <c r="D288" s="2" t="s">
        <v>77</v>
      </c>
      <c r="E288" s="2" t="s">
        <v>78</v>
      </c>
      <c r="F288" s="2" t="s">
        <v>610</v>
      </c>
      <c r="G288" s="11" t="n">
        <v>444.3</v>
      </c>
      <c r="H288" s="11" t="n">
        <v>611.4</v>
      </c>
      <c r="I288" s="12" t="n">
        <v>17</v>
      </c>
      <c r="J288" s="11" t="n">
        <v>1276.8</v>
      </c>
      <c r="K288" s="13" t="n">
        <v>67.3</v>
      </c>
      <c r="L288" s="2" t="s">
        <v>72</v>
      </c>
      <c r="M288" s="14" t="n">
        <v>120605</v>
      </c>
      <c r="N288" s="2" t="s">
        <v>135</v>
      </c>
      <c r="O288" s="14" t="n">
        <f aca="false">IFERROR(M288/I288,"")</f>
        <v>7094.41176470588</v>
      </c>
    </row>
    <row r="289" customFormat="false" ht="15" hidden="false" customHeight="false" outlineLevel="0" collapsed="false">
      <c r="A289" s="2" t="s">
        <v>611</v>
      </c>
      <c r="B289" s="2" t="s">
        <v>119</v>
      </c>
      <c r="C289" s="2" t="s">
        <v>102</v>
      </c>
      <c r="D289" s="2" t="s">
        <v>77</v>
      </c>
      <c r="E289" s="2" t="s">
        <v>70</v>
      </c>
      <c r="F289" s="2" t="s">
        <v>372</v>
      </c>
      <c r="G289" s="11" t="n">
        <v>32.5</v>
      </c>
      <c r="H289" s="11" t="n">
        <v>21</v>
      </c>
      <c r="I289" s="12" t="n">
        <v>9</v>
      </c>
      <c r="J289" s="11" t="n">
        <v>28</v>
      </c>
      <c r="K289" s="13" t="n">
        <v>90.4</v>
      </c>
      <c r="L289" s="2" t="s">
        <v>104</v>
      </c>
      <c r="M289" s="14" t="n">
        <v>8475</v>
      </c>
      <c r="N289" s="2" t="s">
        <v>80</v>
      </c>
      <c r="O289" s="14" t="n">
        <f aca="false">IFERROR(M289/I289,"")</f>
        <v>941.666666666667</v>
      </c>
    </row>
    <row r="290" customFormat="false" ht="15" hidden="false" customHeight="false" outlineLevel="0" collapsed="false">
      <c r="A290" s="2" t="s">
        <v>612</v>
      </c>
      <c r="B290" s="2" t="s">
        <v>93</v>
      </c>
      <c r="C290" s="2" t="s">
        <v>83</v>
      </c>
      <c r="D290" s="2" t="s">
        <v>127</v>
      </c>
      <c r="E290" s="2" t="s">
        <v>90</v>
      </c>
      <c r="F290" s="2" t="s">
        <v>613</v>
      </c>
      <c r="G290" s="11" t="n">
        <v>15</v>
      </c>
      <c r="H290" s="11" t="n">
        <v>11.7</v>
      </c>
      <c r="I290" s="12" t="n">
        <v>16</v>
      </c>
      <c r="J290" s="11" t="n">
        <v>73.6</v>
      </c>
      <c r="K290" s="13" t="n">
        <v>57.2</v>
      </c>
      <c r="L290" s="2" t="s">
        <v>104</v>
      </c>
      <c r="M290" s="14" t="n">
        <v>578</v>
      </c>
      <c r="N290" s="2" t="s">
        <v>80</v>
      </c>
      <c r="O290" s="14" t="n">
        <f aca="false">IFERROR(M290/I290,"")</f>
        <v>36.125</v>
      </c>
    </row>
    <row r="291" customFormat="false" ht="15" hidden="false" customHeight="false" outlineLevel="0" collapsed="false">
      <c r="A291" s="2" t="s">
        <v>614</v>
      </c>
      <c r="B291" s="2" t="s">
        <v>133</v>
      </c>
      <c r="C291" s="2" t="s">
        <v>97</v>
      </c>
      <c r="D291" s="2" t="s">
        <v>77</v>
      </c>
      <c r="E291" s="2" t="s">
        <v>78</v>
      </c>
      <c r="F291" s="2" t="s">
        <v>615</v>
      </c>
      <c r="G291" s="11" t="n">
        <v>30.2</v>
      </c>
      <c r="H291" s="11" t="n">
        <v>37.9</v>
      </c>
      <c r="I291" s="12" t="n">
        <v>16</v>
      </c>
      <c r="J291" s="11" t="n">
        <v>96.3</v>
      </c>
      <c r="K291" s="13" t="n">
        <v>51.9</v>
      </c>
      <c r="L291" s="2" t="s">
        <v>72</v>
      </c>
      <c r="M291" s="14" t="n">
        <v>12209</v>
      </c>
      <c r="N291" s="2" t="s">
        <v>80</v>
      </c>
      <c r="O291" s="14" t="n">
        <f aca="false">IFERROR(M291/I291,"")</f>
        <v>763.0625</v>
      </c>
    </row>
    <row r="292" customFormat="false" ht="15" hidden="false" customHeight="false" outlineLevel="0" collapsed="false">
      <c r="A292" s="2" t="s">
        <v>616</v>
      </c>
      <c r="B292" s="2" t="s">
        <v>89</v>
      </c>
      <c r="C292" s="2" t="s">
        <v>83</v>
      </c>
      <c r="D292" s="2" t="s">
        <v>84</v>
      </c>
      <c r="E292" s="2" t="s">
        <v>107</v>
      </c>
      <c r="F292" s="2" t="s">
        <v>439</v>
      </c>
      <c r="G292" s="11" t="n">
        <v>14.2</v>
      </c>
      <c r="H292" s="11" t="n">
        <v>8.7</v>
      </c>
      <c r="I292" s="12" t="n">
        <v>12</v>
      </c>
      <c r="J292" s="11" t="n">
        <v>45.3</v>
      </c>
      <c r="K292" s="13" t="n">
        <v>47.3</v>
      </c>
      <c r="L292" s="2" t="s">
        <v>109</v>
      </c>
      <c r="M292" s="14" t="n">
        <v>463</v>
      </c>
      <c r="N292" s="2" t="s">
        <v>80</v>
      </c>
      <c r="O292" s="14" t="n">
        <f aca="false">IFERROR(M292/I292,"")</f>
        <v>38.5833333333333</v>
      </c>
    </row>
    <row r="293" customFormat="false" ht="15" hidden="false" customHeight="false" outlineLevel="0" collapsed="false">
      <c r="A293" s="2" t="s">
        <v>617</v>
      </c>
      <c r="B293" s="2" t="s">
        <v>93</v>
      </c>
      <c r="C293" s="2" t="s">
        <v>83</v>
      </c>
      <c r="D293" s="2" t="s">
        <v>127</v>
      </c>
      <c r="E293" s="2" t="s">
        <v>107</v>
      </c>
      <c r="F293" s="2" t="s">
        <v>618</v>
      </c>
      <c r="G293" s="11" t="n">
        <v>13</v>
      </c>
      <c r="H293" s="11" t="n">
        <v>7.8</v>
      </c>
      <c r="I293" s="12" t="n">
        <v>55</v>
      </c>
      <c r="J293" s="11" t="n">
        <v>140</v>
      </c>
      <c r="K293" s="13" t="n">
        <v>43.3</v>
      </c>
      <c r="L293" s="2" t="s">
        <v>72</v>
      </c>
      <c r="M293" s="14" t="n">
        <v>642</v>
      </c>
      <c r="N293" s="2" t="s">
        <v>80</v>
      </c>
      <c r="O293" s="14" t="n">
        <f aca="false">IFERROR(M293/I293,"")</f>
        <v>11.6727272727273</v>
      </c>
    </row>
    <row r="294" customFormat="false" ht="15" hidden="false" customHeight="false" outlineLevel="0" collapsed="false">
      <c r="A294" s="2" t="s">
        <v>619</v>
      </c>
      <c r="B294" s="2" t="s">
        <v>119</v>
      </c>
      <c r="C294" s="2" t="s">
        <v>102</v>
      </c>
      <c r="D294" s="2" t="s">
        <v>127</v>
      </c>
      <c r="E294" s="2" t="s">
        <v>78</v>
      </c>
      <c r="F294" s="2" t="s">
        <v>620</v>
      </c>
      <c r="G294" s="11" t="n">
        <v>39.3</v>
      </c>
      <c r="H294" s="11" t="n">
        <v>21</v>
      </c>
      <c r="I294" s="12" t="n">
        <v>4</v>
      </c>
      <c r="J294" s="11" t="n">
        <v>15.4</v>
      </c>
      <c r="K294" s="13" t="n">
        <v>71.1</v>
      </c>
      <c r="L294" s="2" t="s">
        <v>109</v>
      </c>
      <c r="M294" s="14" t="n">
        <v>6092</v>
      </c>
      <c r="N294" s="2" t="s">
        <v>73</v>
      </c>
      <c r="O294" s="14" t="n">
        <f aca="false">IFERROR(M294/I294,"")</f>
        <v>1523</v>
      </c>
    </row>
    <row r="295" customFormat="false" ht="15" hidden="false" customHeight="false" outlineLevel="0" collapsed="false">
      <c r="A295" s="2" t="s">
        <v>621</v>
      </c>
      <c r="B295" s="2" t="s">
        <v>82</v>
      </c>
      <c r="C295" s="2" t="s">
        <v>83</v>
      </c>
      <c r="D295" s="2" t="s">
        <v>84</v>
      </c>
      <c r="E295" s="2" t="s">
        <v>90</v>
      </c>
      <c r="F295" s="2" t="s">
        <v>622</v>
      </c>
      <c r="G295" s="11" t="n">
        <v>17.4</v>
      </c>
      <c r="H295" s="11" t="n">
        <v>10.1</v>
      </c>
      <c r="I295" s="12" t="n">
        <v>9</v>
      </c>
      <c r="J295" s="11" t="n">
        <v>28.1</v>
      </c>
      <c r="K295" s="13" t="n">
        <v>45.9</v>
      </c>
      <c r="L295" s="2" t="s">
        <v>72</v>
      </c>
      <c r="M295" s="14" t="n">
        <v>507</v>
      </c>
      <c r="N295" s="2" t="s">
        <v>80</v>
      </c>
      <c r="O295" s="14" t="n">
        <f aca="false">IFERROR(M295/I295,"")</f>
        <v>56.3333333333333</v>
      </c>
    </row>
    <row r="296" customFormat="false" ht="15" hidden="false" customHeight="false" outlineLevel="0" collapsed="false">
      <c r="A296" s="2" t="s">
        <v>623</v>
      </c>
      <c r="B296" s="2" t="s">
        <v>192</v>
      </c>
      <c r="C296" s="2" t="s">
        <v>126</v>
      </c>
      <c r="D296" s="2" t="s">
        <v>84</v>
      </c>
      <c r="E296" s="2" t="s">
        <v>78</v>
      </c>
      <c r="F296" s="2" t="s">
        <v>624</v>
      </c>
      <c r="G296" s="11" t="n">
        <v>298.9</v>
      </c>
      <c r="H296" s="11" t="n">
        <v>558.7</v>
      </c>
      <c r="I296" s="12" t="n">
        <v>12</v>
      </c>
      <c r="J296" s="11" t="n">
        <v>825.2</v>
      </c>
      <c r="K296" s="13" t="n">
        <v>69</v>
      </c>
      <c r="L296" s="2" t="s">
        <v>104</v>
      </c>
      <c r="M296" s="14" t="n">
        <v>167631</v>
      </c>
      <c r="N296" s="2" t="s">
        <v>135</v>
      </c>
      <c r="O296" s="14" t="n">
        <f aca="false">IFERROR(M296/I296,"")</f>
        <v>13969.25</v>
      </c>
    </row>
    <row r="297" customFormat="false" ht="15" hidden="false" customHeight="false" outlineLevel="0" collapsed="false">
      <c r="A297" s="2" t="s">
        <v>625</v>
      </c>
      <c r="B297" s="2" t="s">
        <v>93</v>
      </c>
      <c r="C297" s="2" t="s">
        <v>83</v>
      </c>
      <c r="D297" s="2" t="s">
        <v>122</v>
      </c>
      <c r="E297" s="2" t="s">
        <v>90</v>
      </c>
      <c r="F297" s="2" t="s">
        <v>515</v>
      </c>
      <c r="G297" s="11" t="n">
        <v>15.4</v>
      </c>
      <c r="H297" s="11" t="n">
        <v>9</v>
      </c>
      <c r="I297" s="12" t="n">
        <v>33</v>
      </c>
      <c r="J297" s="11" t="n">
        <v>42.1</v>
      </c>
      <c r="K297" s="13" t="n">
        <v>49.3</v>
      </c>
      <c r="L297" s="2" t="s">
        <v>104</v>
      </c>
      <c r="M297" s="14" t="n">
        <v>705</v>
      </c>
      <c r="N297" s="2" t="s">
        <v>73</v>
      </c>
      <c r="O297" s="14" t="n">
        <f aca="false">IFERROR(M297/I297,"")</f>
        <v>21.3636363636364</v>
      </c>
    </row>
    <row r="298" customFormat="false" ht="15" hidden="false" customHeight="false" outlineLevel="0" collapsed="false">
      <c r="A298" s="2" t="s">
        <v>626</v>
      </c>
      <c r="B298" s="2" t="s">
        <v>165</v>
      </c>
      <c r="C298" s="2" t="s">
        <v>68</v>
      </c>
      <c r="D298" s="2" t="s">
        <v>127</v>
      </c>
      <c r="E298" s="2" t="s">
        <v>98</v>
      </c>
      <c r="F298" s="2" t="s">
        <v>253</v>
      </c>
      <c r="G298" s="11" t="n">
        <v>46</v>
      </c>
      <c r="H298" s="11" t="n">
        <v>19.1</v>
      </c>
      <c r="I298" s="12" t="n">
        <v>20</v>
      </c>
      <c r="J298" s="11" t="n">
        <v>164.2</v>
      </c>
      <c r="K298" s="13" t="n">
        <v>84.7</v>
      </c>
      <c r="L298" s="2" t="s">
        <v>87</v>
      </c>
      <c r="M298" s="14" t="n">
        <v>3512</v>
      </c>
      <c r="N298" s="2" t="s">
        <v>135</v>
      </c>
      <c r="O298" s="14" t="n">
        <f aca="false">IFERROR(M298/I298,"")</f>
        <v>175.6</v>
      </c>
    </row>
    <row r="299" customFormat="false" ht="15" hidden="false" customHeight="false" outlineLevel="0" collapsed="false">
      <c r="A299" s="2" t="s">
        <v>627</v>
      </c>
      <c r="B299" s="2" t="s">
        <v>165</v>
      </c>
      <c r="C299" s="2" t="s">
        <v>68</v>
      </c>
      <c r="D299" s="2" t="s">
        <v>77</v>
      </c>
      <c r="E299" s="2" t="s">
        <v>116</v>
      </c>
      <c r="F299" s="2" t="s">
        <v>218</v>
      </c>
      <c r="G299" s="11" t="n">
        <v>61.5</v>
      </c>
      <c r="H299" s="11" t="n">
        <v>16.4</v>
      </c>
      <c r="I299" s="12" t="n">
        <v>17</v>
      </c>
      <c r="J299" s="11" t="n">
        <v>233.3</v>
      </c>
      <c r="K299" s="13" t="n">
        <v>79.5</v>
      </c>
      <c r="L299" s="2" t="s">
        <v>104</v>
      </c>
      <c r="M299" s="14" t="n">
        <v>3937</v>
      </c>
      <c r="N299" s="2" t="s">
        <v>138</v>
      </c>
      <c r="O299" s="14" t="n">
        <f aca="false">IFERROR(M299/I299,"")</f>
        <v>231.588235294118</v>
      </c>
    </row>
    <row r="300" customFormat="false" ht="15" hidden="false" customHeight="false" outlineLevel="0" collapsed="false">
      <c r="A300" s="2" t="s">
        <v>628</v>
      </c>
      <c r="B300" s="2" t="s">
        <v>93</v>
      </c>
      <c r="C300" s="2" t="s">
        <v>83</v>
      </c>
      <c r="D300" s="2" t="s">
        <v>84</v>
      </c>
      <c r="E300" s="2" t="s">
        <v>78</v>
      </c>
      <c r="F300" s="2" t="s">
        <v>629</v>
      </c>
      <c r="G300" s="11" t="n">
        <v>15.9</v>
      </c>
      <c r="H300" s="11" t="n">
        <v>9.3</v>
      </c>
      <c r="I300" s="12" t="n">
        <v>55</v>
      </c>
      <c r="J300" s="11" t="n">
        <v>84.6</v>
      </c>
      <c r="K300" s="13" t="n">
        <v>42.3</v>
      </c>
      <c r="L300" s="2" t="s">
        <v>72</v>
      </c>
      <c r="M300" s="14" t="n">
        <v>640</v>
      </c>
      <c r="N300" s="2" t="s">
        <v>73</v>
      </c>
      <c r="O300" s="14" t="n">
        <f aca="false">IFERROR(M300/I300,"")</f>
        <v>11.6363636363636</v>
      </c>
    </row>
    <row r="301" customFormat="false" ht="15" hidden="false" customHeight="false" outlineLevel="0" collapsed="false">
      <c r="A301" s="2" t="s">
        <v>630</v>
      </c>
      <c r="B301" s="2" t="s">
        <v>125</v>
      </c>
      <c r="C301" s="2" t="s">
        <v>126</v>
      </c>
      <c r="D301" s="2" t="s">
        <v>84</v>
      </c>
      <c r="E301" s="2" t="s">
        <v>78</v>
      </c>
      <c r="F301" s="2" t="s">
        <v>163</v>
      </c>
      <c r="G301" s="11" t="n">
        <v>395.9</v>
      </c>
      <c r="H301" s="11" t="n">
        <v>419.6</v>
      </c>
      <c r="I301" s="12" t="n">
        <v>15</v>
      </c>
      <c r="J301" s="11" t="n">
        <v>1535.7</v>
      </c>
      <c r="K301" s="13" t="n">
        <v>66.5</v>
      </c>
      <c r="L301" s="2" t="s">
        <v>104</v>
      </c>
      <c r="M301" s="14" t="n">
        <v>165355</v>
      </c>
      <c r="N301" s="2" t="s">
        <v>73</v>
      </c>
      <c r="O301" s="14" t="n">
        <f aca="false">IFERROR(M301/I301,"")</f>
        <v>11023.6666666667</v>
      </c>
    </row>
    <row r="302" customFormat="false" ht="15" hidden="false" customHeight="false" outlineLevel="0" collapsed="false">
      <c r="A302" s="2" t="s">
        <v>631</v>
      </c>
      <c r="B302" s="2" t="s">
        <v>125</v>
      </c>
      <c r="C302" s="2" t="s">
        <v>126</v>
      </c>
      <c r="D302" s="2" t="s">
        <v>77</v>
      </c>
      <c r="E302" s="2" t="s">
        <v>107</v>
      </c>
      <c r="F302" s="2" t="s">
        <v>632</v>
      </c>
      <c r="G302" s="11" t="n">
        <v>394.4</v>
      </c>
      <c r="H302" s="11" t="n">
        <v>505.5</v>
      </c>
      <c r="I302" s="12" t="n">
        <v>21</v>
      </c>
      <c r="J302" s="11" t="n">
        <v>1702.2</v>
      </c>
      <c r="K302" s="13" t="n">
        <v>70</v>
      </c>
      <c r="L302" s="2" t="s">
        <v>104</v>
      </c>
      <c r="M302" s="14" t="n">
        <v>168560</v>
      </c>
      <c r="N302" s="2" t="s">
        <v>73</v>
      </c>
      <c r="O302" s="14" t="n">
        <f aca="false">IFERROR(M302/I302,"")</f>
        <v>8026.66666666667</v>
      </c>
    </row>
    <row r="303" customFormat="false" ht="15" hidden="false" customHeight="false" outlineLevel="0" collapsed="false">
      <c r="A303" s="2" t="s">
        <v>633</v>
      </c>
      <c r="B303" s="2" t="s">
        <v>82</v>
      </c>
      <c r="C303" s="2" t="s">
        <v>83</v>
      </c>
      <c r="D303" s="2" t="s">
        <v>77</v>
      </c>
      <c r="E303" s="2" t="s">
        <v>107</v>
      </c>
      <c r="F303" s="2" t="s">
        <v>634</v>
      </c>
      <c r="G303" s="11" t="n">
        <v>14</v>
      </c>
      <c r="H303" s="11" t="n">
        <v>6.2</v>
      </c>
      <c r="I303" s="12" t="n">
        <v>20</v>
      </c>
      <c r="J303" s="11" t="n">
        <v>38.1</v>
      </c>
      <c r="K303" s="13" t="n">
        <v>52.3</v>
      </c>
      <c r="L303" s="2" t="s">
        <v>72</v>
      </c>
      <c r="M303" s="14" t="n">
        <v>540</v>
      </c>
      <c r="N303" s="2" t="s">
        <v>138</v>
      </c>
      <c r="O303" s="14" t="n">
        <f aca="false">IFERROR(M303/I303,"")</f>
        <v>27</v>
      </c>
    </row>
    <row r="304" customFormat="false" ht="15" hidden="false" customHeight="false" outlineLevel="0" collapsed="false">
      <c r="A304" s="2" t="s">
        <v>635</v>
      </c>
      <c r="B304" s="2" t="s">
        <v>67</v>
      </c>
      <c r="C304" s="2" t="s">
        <v>68</v>
      </c>
      <c r="D304" s="2" t="s">
        <v>84</v>
      </c>
      <c r="E304" s="2" t="s">
        <v>107</v>
      </c>
      <c r="F304" s="2" t="s">
        <v>491</v>
      </c>
      <c r="G304" s="11" t="n">
        <v>55.9</v>
      </c>
      <c r="H304" s="11" t="n">
        <v>16.8</v>
      </c>
      <c r="I304" s="12" t="n">
        <v>16</v>
      </c>
      <c r="J304" s="11" t="n">
        <v>60</v>
      </c>
      <c r="K304" s="13" t="n">
        <v>71</v>
      </c>
      <c r="L304" s="2" t="s">
        <v>72</v>
      </c>
      <c r="M304" s="14" t="n">
        <v>3507</v>
      </c>
      <c r="N304" s="2" t="s">
        <v>73</v>
      </c>
      <c r="O304" s="14" t="n">
        <f aca="false">IFERROR(M304/I304,"")</f>
        <v>219.1875</v>
      </c>
    </row>
    <row r="305" customFormat="false" ht="15" hidden="false" customHeight="false" outlineLevel="0" collapsed="false">
      <c r="A305" s="2" t="s">
        <v>636</v>
      </c>
      <c r="B305" s="2" t="s">
        <v>82</v>
      </c>
      <c r="C305" s="2" t="s">
        <v>83</v>
      </c>
      <c r="D305" s="2" t="s">
        <v>127</v>
      </c>
      <c r="E305" s="2" t="s">
        <v>90</v>
      </c>
      <c r="F305" s="2" t="s">
        <v>637</v>
      </c>
      <c r="G305" s="11" t="n">
        <v>13.6</v>
      </c>
      <c r="H305" s="11" t="n">
        <v>8.4</v>
      </c>
      <c r="I305" s="12" t="n">
        <v>22</v>
      </c>
      <c r="J305" s="11" t="n">
        <v>12</v>
      </c>
      <c r="K305" s="13" t="n">
        <v>51.8</v>
      </c>
      <c r="L305" s="2" t="s">
        <v>72</v>
      </c>
      <c r="M305" s="14" t="n">
        <v>789</v>
      </c>
      <c r="N305" s="2" t="s">
        <v>73</v>
      </c>
      <c r="O305" s="14" t="n">
        <f aca="false">IFERROR(M305/I305,"")</f>
        <v>35.8636363636364</v>
      </c>
    </row>
    <row r="306" customFormat="false" ht="15" hidden="false" customHeight="false" outlineLevel="0" collapsed="false">
      <c r="A306" s="2" t="s">
        <v>638</v>
      </c>
      <c r="B306" s="2" t="s">
        <v>67</v>
      </c>
      <c r="C306" s="2" t="s">
        <v>68</v>
      </c>
      <c r="D306" s="2" t="s">
        <v>77</v>
      </c>
      <c r="E306" s="2" t="s">
        <v>70</v>
      </c>
      <c r="F306" s="2" t="s">
        <v>639</v>
      </c>
      <c r="G306" s="11" t="n">
        <v>63.8</v>
      </c>
      <c r="H306" s="11" t="n">
        <v>23</v>
      </c>
      <c r="I306" s="12" t="n">
        <v>15</v>
      </c>
      <c r="J306" s="11" t="n">
        <v>323.3</v>
      </c>
      <c r="K306" s="13" t="n">
        <v>82.9</v>
      </c>
      <c r="L306" s="2" t="s">
        <v>104</v>
      </c>
      <c r="M306" s="14" t="n">
        <v>3963</v>
      </c>
      <c r="N306" s="2" t="s">
        <v>80</v>
      </c>
      <c r="O306" s="14" t="n">
        <f aca="false">IFERROR(M306/I306,"")</f>
        <v>264.2</v>
      </c>
    </row>
    <row r="307" customFormat="false" ht="15" hidden="false" customHeight="false" outlineLevel="0" collapsed="false">
      <c r="A307" s="2" t="s">
        <v>640</v>
      </c>
      <c r="B307" s="2" t="s">
        <v>93</v>
      </c>
      <c r="C307" s="2" t="s">
        <v>83</v>
      </c>
      <c r="D307" s="2" t="s">
        <v>77</v>
      </c>
      <c r="E307" s="2" t="s">
        <v>78</v>
      </c>
      <c r="F307" s="2" t="s">
        <v>565</v>
      </c>
      <c r="G307" s="11" t="n">
        <v>10.9</v>
      </c>
      <c r="H307" s="11" t="n">
        <v>7.8</v>
      </c>
      <c r="I307" s="12" t="n">
        <v>32</v>
      </c>
      <c r="J307" s="11" t="n">
        <v>37.8</v>
      </c>
      <c r="K307" s="13" t="n">
        <v>45.3</v>
      </c>
      <c r="L307" s="2" t="s">
        <v>109</v>
      </c>
      <c r="M307" s="14" t="n">
        <v>734</v>
      </c>
      <c r="N307" s="2" t="s">
        <v>80</v>
      </c>
      <c r="O307" s="14" t="n">
        <f aca="false">IFERROR(M307/I307,"")</f>
        <v>22.9375</v>
      </c>
    </row>
    <row r="308" customFormat="false" ht="15" hidden="false" customHeight="false" outlineLevel="0" collapsed="false">
      <c r="A308" s="2" t="s">
        <v>641</v>
      </c>
      <c r="B308" s="2" t="s">
        <v>75</v>
      </c>
      <c r="C308" s="2" t="s">
        <v>76</v>
      </c>
      <c r="D308" s="2" t="s">
        <v>127</v>
      </c>
      <c r="E308" s="2" t="s">
        <v>78</v>
      </c>
      <c r="F308" s="2" t="s">
        <v>392</v>
      </c>
      <c r="G308" s="11" t="n">
        <v>39</v>
      </c>
      <c r="H308" s="11" t="n">
        <v>22.4</v>
      </c>
      <c r="I308" s="12" t="n">
        <v>11</v>
      </c>
      <c r="J308" s="11" t="n">
        <v>59</v>
      </c>
      <c r="K308" s="13" t="n">
        <v>47.6</v>
      </c>
      <c r="L308" s="2" t="s">
        <v>109</v>
      </c>
      <c r="M308" s="14" t="n">
        <v>23441</v>
      </c>
      <c r="N308" s="2" t="s">
        <v>73</v>
      </c>
      <c r="O308" s="14" t="n">
        <f aca="false">IFERROR(M308/I308,"")</f>
        <v>2131</v>
      </c>
    </row>
    <row r="309" customFormat="false" ht="15" hidden="false" customHeight="false" outlineLevel="0" collapsed="false">
      <c r="A309" s="2" t="s">
        <v>642</v>
      </c>
      <c r="B309" s="2" t="s">
        <v>93</v>
      </c>
      <c r="C309" s="2" t="s">
        <v>83</v>
      </c>
      <c r="D309" s="2" t="s">
        <v>69</v>
      </c>
      <c r="E309" s="2" t="s">
        <v>78</v>
      </c>
      <c r="F309" s="2" t="s">
        <v>396</v>
      </c>
      <c r="G309" s="11" t="n">
        <v>15.3</v>
      </c>
      <c r="H309" s="11" t="n">
        <v>9.6</v>
      </c>
      <c r="I309" s="12" t="n">
        <v>23</v>
      </c>
      <c r="J309" s="11" t="n">
        <v>71.2</v>
      </c>
      <c r="K309" s="13" t="n">
        <v>51.5</v>
      </c>
      <c r="L309" s="2" t="s">
        <v>104</v>
      </c>
      <c r="M309" s="14" t="n">
        <v>675</v>
      </c>
      <c r="N309" s="2" t="s">
        <v>80</v>
      </c>
      <c r="O309" s="14" t="n">
        <f aca="false">IFERROR(M309/I309,"")</f>
        <v>29.3478260869565</v>
      </c>
    </row>
    <row r="310" customFormat="false" ht="15" hidden="false" customHeight="false" outlineLevel="0" collapsed="false">
      <c r="A310" s="2" t="s">
        <v>643</v>
      </c>
      <c r="B310" s="2" t="s">
        <v>93</v>
      </c>
      <c r="C310" s="2" t="s">
        <v>83</v>
      </c>
      <c r="D310" s="2" t="s">
        <v>77</v>
      </c>
      <c r="E310" s="2" t="s">
        <v>98</v>
      </c>
      <c r="F310" s="2" t="s">
        <v>201</v>
      </c>
      <c r="G310" s="11" t="n">
        <v>13.4</v>
      </c>
      <c r="H310" s="11" t="n">
        <v>11</v>
      </c>
      <c r="I310" s="12" t="n">
        <v>24</v>
      </c>
      <c r="J310" s="11" t="n">
        <v>63.9</v>
      </c>
      <c r="K310" s="13" t="n">
        <v>64</v>
      </c>
      <c r="L310" s="2" t="s">
        <v>87</v>
      </c>
      <c r="M310" s="14" t="n">
        <v>659</v>
      </c>
      <c r="N310" s="2" t="s">
        <v>80</v>
      </c>
      <c r="O310" s="14" t="n">
        <f aca="false">IFERROR(M310/I310,"")</f>
        <v>27.4583333333333</v>
      </c>
    </row>
    <row r="311" customFormat="false" ht="15" hidden="false" customHeight="false" outlineLevel="0" collapsed="false">
      <c r="A311" s="2" t="s">
        <v>644</v>
      </c>
      <c r="B311" s="2" t="s">
        <v>165</v>
      </c>
      <c r="C311" s="2" t="s">
        <v>68</v>
      </c>
      <c r="D311" s="2" t="s">
        <v>77</v>
      </c>
      <c r="E311" s="2" t="s">
        <v>78</v>
      </c>
      <c r="F311" s="2" t="s">
        <v>159</v>
      </c>
      <c r="G311" s="11" t="n">
        <v>53.1</v>
      </c>
      <c r="H311" s="11" t="n">
        <v>19.2</v>
      </c>
      <c r="I311" s="12" t="n">
        <v>14</v>
      </c>
      <c r="J311" s="11" t="n">
        <v>52.5</v>
      </c>
      <c r="K311" s="13" t="n">
        <v>86.7</v>
      </c>
      <c r="L311" s="2" t="s">
        <v>72</v>
      </c>
      <c r="M311" s="14" t="n">
        <v>2795</v>
      </c>
      <c r="N311" s="2" t="s">
        <v>135</v>
      </c>
      <c r="O311" s="14" t="n">
        <f aca="false">IFERROR(M311/I311,"")</f>
        <v>199.642857142857</v>
      </c>
    </row>
    <row r="312" customFormat="false" ht="15" hidden="false" customHeight="false" outlineLevel="0" collapsed="false">
      <c r="A312" s="2" t="s">
        <v>645</v>
      </c>
      <c r="B312" s="2" t="s">
        <v>106</v>
      </c>
      <c r="C312" s="2" t="s">
        <v>68</v>
      </c>
      <c r="D312" s="2" t="s">
        <v>84</v>
      </c>
      <c r="E312" s="2" t="s">
        <v>78</v>
      </c>
      <c r="F312" s="2" t="s">
        <v>646</v>
      </c>
      <c r="G312" s="11" t="n">
        <v>52.7</v>
      </c>
      <c r="H312" s="11" t="n">
        <v>20</v>
      </c>
      <c r="I312" s="12" t="n">
        <v>9</v>
      </c>
      <c r="J312" s="11" t="n">
        <v>118.9</v>
      </c>
      <c r="K312" s="13" t="n">
        <v>73.7</v>
      </c>
      <c r="L312" s="2" t="s">
        <v>72</v>
      </c>
      <c r="M312" s="14" t="n">
        <v>2766</v>
      </c>
      <c r="N312" s="2" t="s">
        <v>73</v>
      </c>
      <c r="O312" s="14" t="n">
        <f aca="false">IFERROR(M312/I312,"")</f>
        <v>307.333333333333</v>
      </c>
    </row>
    <row r="313" customFormat="false" ht="15" hidden="false" customHeight="false" outlineLevel="0" collapsed="false">
      <c r="A313" s="2" t="s">
        <v>647</v>
      </c>
      <c r="B313" s="2" t="s">
        <v>133</v>
      </c>
      <c r="C313" s="2" t="s">
        <v>97</v>
      </c>
      <c r="D313" s="2" t="s">
        <v>84</v>
      </c>
      <c r="E313" s="2" t="s">
        <v>90</v>
      </c>
      <c r="F313" s="2" t="s">
        <v>353</v>
      </c>
      <c r="G313" s="11" t="n">
        <v>31.7</v>
      </c>
      <c r="H313" s="11" t="n">
        <v>44.8</v>
      </c>
      <c r="I313" s="12" t="n">
        <v>11</v>
      </c>
      <c r="J313" s="11" t="n">
        <v>18.6</v>
      </c>
      <c r="K313" s="13" t="n">
        <v>52.3</v>
      </c>
      <c r="L313" s="2" t="s">
        <v>104</v>
      </c>
      <c r="M313" s="14" t="n">
        <v>11511</v>
      </c>
      <c r="N313" s="2" t="s">
        <v>73</v>
      </c>
      <c r="O313" s="14" t="n">
        <f aca="false">IFERROR(M313/I313,"")</f>
        <v>1046.45454545455</v>
      </c>
    </row>
    <row r="314" customFormat="false" ht="15" hidden="false" customHeight="false" outlineLevel="0" collapsed="false">
      <c r="A314" s="2" t="s">
        <v>648</v>
      </c>
      <c r="B314" s="2" t="s">
        <v>82</v>
      </c>
      <c r="C314" s="2" t="s">
        <v>83</v>
      </c>
      <c r="D314" s="2" t="s">
        <v>69</v>
      </c>
      <c r="E314" s="2" t="s">
        <v>78</v>
      </c>
      <c r="F314" s="2" t="s">
        <v>649</v>
      </c>
      <c r="G314" s="11" t="n">
        <v>15.4</v>
      </c>
      <c r="H314" s="11" t="n">
        <v>6.5</v>
      </c>
      <c r="I314" s="12" t="n">
        <v>51</v>
      </c>
      <c r="J314" s="11" t="n">
        <v>110</v>
      </c>
      <c r="K314" s="13" t="n">
        <v>57.4</v>
      </c>
      <c r="L314" s="2" t="s">
        <v>104</v>
      </c>
      <c r="M314" s="14" t="n">
        <v>759</v>
      </c>
      <c r="N314" s="2" t="s">
        <v>80</v>
      </c>
      <c r="O314" s="14" t="n">
        <f aca="false">IFERROR(M314/I314,"")</f>
        <v>14.8823529411765</v>
      </c>
    </row>
    <row r="315" customFormat="false" ht="15" hidden="false" customHeight="false" outlineLevel="0" collapsed="false">
      <c r="A315" s="2" t="s">
        <v>650</v>
      </c>
      <c r="B315" s="2" t="s">
        <v>101</v>
      </c>
      <c r="C315" s="2" t="s">
        <v>102</v>
      </c>
      <c r="D315" s="2" t="s">
        <v>84</v>
      </c>
      <c r="E315" s="2" t="s">
        <v>90</v>
      </c>
      <c r="F315" s="2" t="s">
        <v>240</v>
      </c>
      <c r="G315" s="11" t="n">
        <v>29.3</v>
      </c>
      <c r="H315" s="11" t="n">
        <v>22.5</v>
      </c>
      <c r="I315" s="12" t="n">
        <v>14</v>
      </c>
      <c r="J315" s="11" t="n">
        <v>71.1</v>
      </c>
      <c r="K315" s="13" t="n">
        <v>92.9</v>
      </c>
      <c r="L315" s="2" t="s">
        <v>104</v>
      </c>
      <c r="M315" s="14" t="n">
        <v>7483</v>
      </c>
      <c r="N315" s="2" t="s">
        <v>73</v>
      </c>
      <c r="O315" s="14" t="n">
        <f aca="false">IFERROR(M315/I315,"")</f>
        <v>534.5</v>
      </c>
    </row>
    <row r="316" customFormat="false" ht="15" hidden="false" customHeight="false" outlineLevel="0" collapsed="false">
      <c r="A316" s="2" t="s">
        <v>651</v>
      </c>
      <c r="B316" s="2" t="s">
        <v>96</v>
      </c>
      <c r="C316" s="2" t="s">
        <v>97</v>
      </c>
      <c r="D316" s="2" t="s">
        <v>69</v>
      </c>
      <c r="E316" s="2" t="s">
        <v>78</v>
      </c>
      <c r="F316" s="2" t="s">
        <v>652</v>
      </c>
      <c r="G316" s="11" t="n">
        <v>23.5</v>
      </c>
      <c r="H316" s="11" t="n">
        <v>32.7</v>
      </c>
      <c r="I316" s="12" t="n">
        <v>9</v>
      </c>
      <c r="J316" s="11" t="n">
        <v>26</v>
      </c>
      <c r="K316" s="13" t="n">
        <v>55.8</v>
      </c>
      <c r="L316" s="2" t="s">
        <v>72</v>
      </c>
      <c r="M316" s="14" t="n">
        <v>15559</v>
      </c>
      <c r="N316" s="2" t="s">
        <v>135</v>
      </c>
      <c r="O316" s="14" t="n">
        <f aca="false">IFERROR(M316/I316,"")</f>
        <v>1728.77777777778</v>
      </c>
    </row>
    <row r="317" customFormat="false" ht="15" hidden="false" customHeight="false" outlineLevel="0" collapsed="false">
      <c r="A317" s="2" t="s">
        <v>653</v>
      </c>
      <c r="B317" s="2" t="s">
        <v>165</v>
      </c>
      <c r="C317" s="2" t="s">
        <v>68</v>
      </c>
      <c r="D317" s="2" t="s">
        <v>84</v>
      </c>
      <c r="E317" s="2" t="s">
        <v>90</v>
      </c>
      <c r="F317" s="2" t="s">
        <v>654</v>
      </c>
      <c r="G317" s="11" t="n">
        <v>51.8</v>
      </c>
      <c r="H317" s="11" t="n">
        <v>17.7</v>
      </c>
      <c r="I317" s="12" t="n">
        <v>7</v>
      </c>
      <c r="J317" s="11" t="n">
        <v>70.5</v>
      </c>
      <c r="K317" s="13" t="n">
        <v>73.5</v>
      </c>
      <c r="L317" s="2" t="s">
        <v>72</v>
      </c>
      <c r="M317" s="14" t="n">
        <v>2754</v>
      </c>
      <c r="N317" s="2" t="s">
        <v>138</v>
      </c>
      <c r="O317" s="14" t="n">
        <f aca="false">IFERROR(M317/I317,"")</f>
        <v>393.428571428571</v>
      </c>
    </row>
    <row r="318" customFormat="false" ht="15" hidden="false" customHeight="false" outlineLevel="0" collapsed="false">
      <c r="A318" s="2" t="s">
        <v>655</v>
      </c>
      <c r="B318" s="2" t="s">
        <v>89</v>
      </c>
      <c r="C318" s="2" t="s">
        <v>83</v>
      </c>
      <c r="D318" s="2" t="s">
        <v>77</v>
      </c>
      <c r="E318" s="2" t="s">
        <v>107</v>
      </c>
      <c r="F318" s="2" t="s">
        <v>656</v>
      </c>
      <c r="G318" s="11" t="n">
        <v>13.7</v>
      </c>
      <c r="H318" s="11" t="n">
        <v>8</v>
      </c>
      <c r="I318" s="12" t="n">
        <v>30</v>
      </c>
      <c r="J318" s="11" t="n">
        <v>117.3</v>
      </c>
      <c r="K318" s="13" t="n">
        <v>46.5</v>
      </c>
      <c r="L318" s="2" t="s">
        <v>72</v>
      </c>
      <c r="M318" s="14" t="n">
        <v>615</v>
      </c>
      <c r="N318" s="2" t="s">
        <v>80</v>
      </c>
      <c r="O318" s="14" t="n">
        <f aca="false">IFERROR(M318/I318,"")</f>
        <v>20.5</v>
      </c>
    </row>
    <row r="319" customFormat="false" ht="15" hidden="false" customHeight="false" outlineLevel="0" collapsed="false">
      <c r="A319" s="2" t="s">
        <v>657</v>
      </c>
      <c r="B319" s="2" t="s">
        <v>82</v>
      </c>
      <c r="C319" s="2" t="s">
        <v>83</v>
      </c>
      <c r="D319" s="2" t="s">
        <v>77</v>
      </c>
      <c r="E319" s="2" t="s">
        <v>78</v>
      </c>
      <c r="F319" s="2" t="s">
        <v>658</v>
      </c>
      <c r="G319" s="11" t="n">
        <v>15.8</v>
      </c>
      <c r="H319" s="11" t="n">
        <v>10.5</v>
      </c>
      <c r="I319" s="12" t="n">
        <v>16</v>
      </c>
      <c r="J319" s="11" t="n">
        <v>76.5</v>
      </c>
      <c r="K319" s="13" t="n">
        <v>61</v>
      </c>
      <c r="L319" s="2" t="s">
        <v>104</v>
      </c>
      <c r="M319" s="14" t="n">
        <v>531</v>
      </c>
      <c r="N319" s="2" t="s">
        <v>80</v>
      </c>
      <c r="O319" s="14" t="n">
        <f aca="false">IFERROR(M319/I319,"")</f>
        <v>33.1875</v>
      </c>
    </row>
    <row r="320" customFormat="false" ht="15" hidden="false" customHeight="false" outlineLevel="0" collapsed="false">
      <c r="A320" s="2" t="s">
        <v>659</v>
      </c>
      <c r="B320" s="2" t="s">
        <v>106</v>
      </c>
      <c r="C320" s="2" t="s">
        <v>68</v>
      </c>
      <c r="D320" s="2" t="s">
        <v>77</v>
      </c>
      <c r="E320" s="2" t="s">
        <v>90</v>
      </c>
      <c r="F320" s="2" t="s">
        <v>491</v>
      </c>
      <c r="G320" s="11" t="n">
        <v>54.1</v>
      </c>
      <c r="H320" s="11" t="n">
        <v>16.1</v>
      </c>
      <c r="I320" s="12" t="n">
        <v>10</v>
      </c>
      <c r="J320" s="11" t="n">
        <v>29.9</v>
      </c>
      <c r="K320" s="13" t="n">
        <v>89.5</v>
      </c>
      <c r="L320" s="2" t="s">
        <v>72</v>
      </c>
      <c r="M320" s="14" t="n">
        <v>3926</v>
      </c>
      <c r="N320" s="2" t="s">
        <v>135</v>
      </c>
      <c r="O320" s="14" t="n">
        <f aca="false">IFERROR(M320/I320,"")</f>
        <v>392.6</v>
      </c>
    </row>
    <row r="321" customFormat="false" ht="15" hidden="false" customHeight="false" outlineLevel="0" collapsed="false">
      <c r="A321" s="2" t="s">
        <v>660</v>
      </c>
      <c r="B321" s="2" t="s">
        <v>165</v>
      </c>
      <c r="C321" s="2" t="s">
        <v>68</v>
      </c>
      <c r="D321" s="2" t="s">
        <v>127</v>
      </c>
      <c r="E321" s="2" t="s">
        <v>78</v>
      </c>
      <c r="F321" s="2" t="s">
        <v>661</v>
      </c>
      <c r="G321" s="11" t="n">
        <v>65.2</v>
      </c>
      <c r="H321" s="11" t="n">
        <v>16</v>
      </c>
      <c r="I321" s="12" t="n">
        <v>9</v>
      </c>
      <c r="J321" s="11" t="n">
        <v>58</v>
      </c>
      <c r="K321" s="13" t="n">
        <v>84</v>
      </c>
      <c r="L321" s="2" t="s">
        <v>72</v>
      </c>
      <c r="M321" s="14" t="n">
        <v>4743</v>
      </c>
      <c r="N321" s="2" t="s">
        <v>73</v>
      </c>
      <c r="O321" s="14" t="n">
        <f aca="false">IFERROR(M321/I321,"")</f>
        <v>527</v>
      </c>
    </row>
    <row r="322" customFormat="false" ht="15" hidden="false" customHeight="false" outlineLevel="0" collapsed="false">
      <c r="A322" s="2" t="s">
        <v>662</v>
      </c>
      <c r="B322" s="2" t="s">
        <v>96</v>
      </c>
      <c r="C322" s="2" t="s">
        <v>97</v>
      </c>
      <c r="D322" s="2" t="s">
        <v>77</v>
      </c>
      <c r="E322" s="2" t="s">
        <v>98</v>
      </c>
      <c r="F322" s="2" t="s">
        <v>284</v>
      </c>
      <c r="G322" s="11" t="n">
        <v>35.3</v>
      </c>
      <c r="H322" s="11" t="n">
        <v>37.3</v>
      </c>
      <c r="I322" s="12" t="n">
        <v>7</v>
      </c>
      <c r="J322" s="11" t="n">
        <v>87.5</v>
      </c>
      <c r="K322" s="13" t="n">
        <v>64.1</v>
      </c>
      <c r="L322" s="2" t="s">
        <v>104</v>
      </c>
      <c r="M322" s="14" t="n">
        <v>10779</v>
      </c>
      <c r="N322" s="2" t="s">
        <v>80</v>
      </c>
      <c r="O322" s="14" t="n">
        <f aca="false">IFERROR(M322/I322,"")</f>
        <v>1539.85714285714</v>
      </c>
    </row>
    <row r="323" customFormat="false" ht="15" hidden="false" customHeight="false" outlineLevel="0" collapsed="false">
      <c r="A323" s="2" t="s">
        <v>663</v>
      </c>
      <c r="B323" s="2" t="s">
        <v>96</v>
      </c>
      <c r="C323" s="2" t="s">
        <v>97</v>
      </c>
      <c r="D323" s="2" t="s">
        <v>84</v>
      </c>
      <c r="E323" s="2" t="s">
        <v>85</v>
      </c>
      <c r="F323" s="2" t="s">
        <v>203</v>
      </c>
      <c r="G323" s="11" t="n">
        <v>24.6</v>
      </c>
      <c r="H323" s="11" t="n">
        <v>30.6</v>
      </c>
      <c r="I323" s="12" t="n">
        <v>17</v>
      </c>
      <c r="J323" s="11" t="n">
        <v>134.8</v>
      </c>
      <c r="K323" s="13" t="n">
        <v>68.4</v>
      </c>
      <c r="L323" s="2" t="s">
        <v>87</v>
      </c>
      <c r="M323" s="14" t="n">
        <v>14690</v>
      </c>
      <c r="N323" s="2" t="s">
        <v>73</v>
      </c>
      <c r="O323" s="14" t="n">
        <f aca="false">IFERROR(M323/I323,"")</f>
        <v>864.117647058824</v>
      </c>
    </row>
    <row r="324" customFormat="false" ht="15" hidden="false" customHeight="false" outlineLevel="0" collapsed="false">
      <c r="A324" s="2" t="s">
        <v>664</v>
      </c>
      <c r="B324" s="2" t="s">
        <v>93</v>
      </c>
      <c r="C324" s="2" t="s">
        <v>83</v>
      </c>
      <c r="D324" s="2" t="s">
        <v>77</v>
      </c>
      <c r="E324" s="2" t="s">
        <v>78</v>
      </c>
      <c r="F324" s="2" t="s">
        <v>157</v>
      </c>
      <c r="G324" s="11" t="n">
        <v>14.3</v>
      </c>
      <c r="H324" s="11" t="n">
        <v>7.4</v>
      </c>
      <c r="I324" s="12" t="n">
        <v>15</v>
      </c>
      <c r="J324" s="11" t="n">
        <v>14.6</v>
      </c>
      <c r="K324" s="13" t="n">
        <v>49.5</v>
      </c>
      <c r="L324" s="2" t="s">
        <v>72</v>
      </c>
      <c r="M324" s="14" t="n">
        <v>549</v>
      </c>
      <c r="N324" s="2" t="s">
        <v>80</v>
      </c>
      <c r="O324" s="14" t="n">
        <f aca="false">IFERROR(M324/I324,"")</f>
        <v>36.6</v>
      </c>
    </row>
    <row r="325" customFormat="false" ht="15" hidden="false" customHeight="false" outlineLevel="0" collapsed="false">
      <c r="A325" s="2" t="s">
        <v>665</v>
      </c>
      <c r="B325" s="2" t="s">
        <v>192</v>
      </c>
      <c r="C325" s="2" t="s">
        <v>126</v>
      </c>
      <c r="D325" s="2" t="s">
        <v>84</v>
      </c>
      <c r="E325" s="2" t="s">
        <v>70</v>
      </c>
      <c r="F325" s="2" t="s">
        <v>666</v>
      </c>
      <c r="G325" s="11" t="n">
        <v>480.7</v>
      </c>
      <c r="H325" s="11" t="n">
        <v>470.8</v>
      </c>
      <c r="I325" s="12" t="n">
        <v>23</v>
      </c>
      <c r="J325" s="11" t="n">
        <v>2557.2</v>
      </c>
      <c r="K325" s="13" t="n">
        <v>74.6</v>
      </c>
      <c r="L325" s="2" t="s">
        <v>104</v>
      </c>
      <c r="M325" s="14" t="n">
        <v>202680</v>
      </c>
      <c r="N325" s="2" t="s">
        <v>73</v>
      </c>
      <c r="O325" s="14" t="n">
        <f aca="false">IFERROR(M325/I325,"")</f>
        <v>8812.17391304348</v>
      </c>
    </row>
    <row r="326" customFormat="false" ht="15" hidden="false" customHeight="false" outlineLevel="0" collapsed="false">
      <c r="A326" s="2" t="s">
        <v>667</v>
      </c>
      <c r="B326" s="2" t="s">
        <v>93</v>
      </c>
      <c r="C326" s="2" t="s">
        <v>83</v>
      </c>
      <c r="D326" s="2" t="s">
        <v>77</v>
      </c>
      <c r="E326" s="2" t="s">
        <v>90</v>
      </c>
      <c r="F326" s="2" t="s">
        <v>159</v>
      </c>
      <c r="G326" s="11" t="n">
        <v>14.5</v>
      </c>
      <c r="H326" s="11" t="n">
        <v>8.7</v>
      </c>
      <c r="I326" s="12" t="n">
        <v>14</v>
      </c>
      <c r="J326" s="11" t="n">
        <v>18</v>
      </c>
      <c r="K326" s="13" t="n">
        <v>49.4</v>
      </c>
      <c r="L326" s="2" t="s">
        <v>72</v>
      </c>
      <c r="M326" s="14" t="n">
        <v>847</v>
      </c>
      <c r="N326" s="2" t="s">
        <v>80</v>
      </c>
      <c r="O326" s="14" t="n">
        <f aca="false">IFERROR(M326/I326,"")</f>
        <v>60.5</v>
      </c>
    </row>
    <row r="327" customFormat="false" ht="15" hidden="false" customHeight="false" outlineLevel="0" collapsed="false">
      <c r="A327" s="2" t="s">
        <v>668</v>
      </c>
      <c r="B327" s="2" t="s">
        <v>192</v>
      </c>
      <c r="C327" s="2" t="s">
        <v>126</v>
      </c>
      <c r="D327" s="2" t="s">
        <v>77</v>
      </c>
      <c r="E327" s="2" t="s">
        <v>107</v>
      </c>
      <c r="F327" s="2" t="s">
        <v>669</v>
      </c>
      <c r="G327" s="11" t="n">
        <v>440.5</v>
      </c>
      <c r="H327" s="11" t="n">
        <v>692.9</v>
      </c>
      <c r="I327" s="12" t="n">
        <v>16</v>
      </c>
      <c r="J327" s="11" t="n">
        <v>1154.2</v>
      </c>
      <c r="K327" s="13" t="n">
        <v>58.8</v>
      </c>
      <c r="L327" s="2" t="s">
        <v>72</v>
      </c>
      <c r="M327" s="14" t="n">
        <v>162227</v>
      </c>
      <c r="N327" s="2" t="s">
        <v>73</v>
      </c>
      <c r="O327" s="14" t="n">
        <f aca="false">IFERROR(M327/I327,"")</f>
        <v>10139.1875</v>
      </c>
    </row>
    <row r="328" customFormat="false" ht="15" hidden="false" customHeight="false" outlineLevel="0" collapsed="false">
      <c r="A328" s="2" t="s">
        <v>670</v>
      </c>
      <c r="B328" s="2" t="s">
        <v>89</v>
      </c>
      <c r="C328" s="2" t="s">
        <v>83</v>
      </c>
      <c r="D328" s="2" t="s">
        <v>77</v>
      </c>
      <c r="E328" s="2" t="s">
        <v>90</v>
      </c>
      <c r="F328" s="2" t="s">
        <v>330</v>
      </c>
      <c r="G328" s="11" t="n">
        <v>13.1</v>
      </c>
      <c r="H328" s="11" t="n">
        <v>10.1</v>
      </c>
      <c r="I328" s="12" t="n">
        <v>45</v>
      </c>
      <c r="J328" s="11" t="n">
        <v>59.9</v>
      </c>
      <c r="K328" s="13" t="n">
        <v>48.9</v>
      </c>
      <c r="L328" s="2" t="s">
        <v>87</v>
      </c>
      <c r="M328" s="14" t="n">
        <v>767</v>
      </c>
      <c r="N328" s="2" t="s">
        <v>80</v>
      </c>
      <c r="O328" s="14" t="n">
        <f aca="false">IFERROR(M328/I328,"")</f>
        <v>17.0444444444444</v>
      </c>
    </row>
    <row r="329" customFormat="false" ht="15" hidden="false" customHeight="false" outlineLevel="0" collapsed="false">
      <c r="A329" s="2" t="s">
        <v>671</v>
      </c>
      <c r="B329" s="2" t="s">
        <v>89</v>
      </c>
      <c r="C329" s="2" t="s">
        <v>83</v>
      </c>
      <c r="D329" s="2" t="s">
        <v>77</v>
      </c>
      <c r="E329" s="2" t="s">
        <v>78</v>
      </c>
      <c r="F329" s="2" t="s">
        <v>672</v>
      </c>
      <c r="G329" s="11" t="n">
        <v>12.9</v>
      </c>
      <c r="H329" s="11" t="n">
        <v>9.6</v>
      </c>
      <c r="I329" s="12" t="n">
        <v>12</v>
      </c>
      <c r="J329" s="11" t="n">
        <v>18.2</v>
      </c>
      <c r="K329" s="13" t="n">
        <v>45.4</v>
      </c>
      <c r="L329" s="2" t="s">
        <v>109</v>
      </c>
      <c r="M329" s="14" t="n">
        <v>635</v>
      </c>
      <c r="N329" s="2" t="s">
        <v>73</v>
      </c>
      <c r="O329" s="14" t="n">
        <f aca="false">IFERROR(M329/I329,"")</f>
        <v>52.9166666666667</v>
      </c>
    </row>
    <row r="330" customFormat="false" ht="15" hidden="false" customHeight="false" outlineLevel="0" collapsed="false">
      <c r="A330" s="2" t="s">
        <v>673</v>
      </c>
      <c r="B330" s="2" t="s">
        <v>119</v>
      </c>
      <c r="C330" s="2" t="s">
        <v>102</v>
      </c>
      <c r="D330" s="2" t="s">
        <v>77</v>
      </c>
      <c r="E330" s="2" t="s">
        <v>107</v>
      </c>
      <c r="F330" s="2" t="s">
        <v>538</v>
      </c>
      <c r="G330" s="11" t="n">
        <v>37.1</v>
      </c>
      <c r="H330" s="11" t="n">
        <v>25.3</v>
      </c>
      <c r="I330" s="12" t="n">
        <v>5</v>
      </c>
      <c r="J330" s="11" t="n">
        <v>33.7</v>
      </c>
      <c r="K330" s="13" t="n">
        <v>79.1</v>
      </c>
      <c r="L330" s="2" t="s">
        <v>72</v>
      </c>
      <c r="M330" s="14" t="n">
        <v>7356</v>
      </c>
      <c r="N330" s="2" t="s">
        <v>73</v>
      </c>
      <c r="O330" s="14" t="n">
        <f aca="false">IFERROR(M330/I330,"")</f>
        <v>1471.2</v>
      </c>
    </row>
    <row r="331" customFormat="false" ht="15" hidden="false" customHeight="false" outlineLevel="0" collapsed="false">
      <c r="A331" s="2" t="s">
        <v>674</v>
      </c>
      <c r="B331" s="2" t="s">
        <v>96</v>
      </c>
      <c r="C331" s="2" t="s">
        <v>97</v>
      </c>
      <c r="D331" s="2" t="s">
        <v>77</v>
      </c>
      <c r="E331" s="2" t="s">
        <v>107</v>
      </c>
      <c r="F331" s="2" t="s">
        <v>637</v>
      </c>
      <c r="G331" s="11" t="n">
        <v>31.9</v>
      </c>
      <c r="H331" s="11" t="n">
        <v>31.6</v>
      </c>
      <c r="I331" s="12" t="n">
        <v>5</v>
      </c>
      <c r="J331" s="11" t="n">
        <v>4.6</v>
      </c>
      <c r="K331" s="13" t="n">
        <v>57.5</v>
      </c>
      <c r="L331" s="2" t="s">
        <v>104</v>
      </c>
      <c r="M331" s="14" t="n">
        <v>12984</v>
      </c>
      <c r="N331" s="2" t="s">
        <v>73</v>
      </c>
      <c r="O331" s="14" t="n">
        <f aca="false">IFERROR(M331/I331,"")</f>
        <v>2596.8</v>
      </c>
    </row>
    <row r="332" customFormat="false" ht="15" hidden="false" customHeight="false" outlineLevel="0" collapsed="false">
      <c r="A332" s="2" t="s">
        <v>675</v>
      </c>
      <c r="B332" s="2" t="s">
        <v>82</v>
      </c>
      <c r="C332" s="2" t="s">
        <v>83</v>
      </c>
      <c r="D332" s="2" t="s">
        <v>130</v>
      </c>
      <c r="E332" s="2" t="s">
        <v>90</v>
      </c>
      <c r="F332" s="2" t="s">
        <v>326</v>
      </c>
      <c r="G332" s="11" t="n">
        <v>12</v>
      </c>
      <c r="H332" s="11" t="n">
        <v>8.8</v>
      </c>
      <c r="I332" s="12" t="n">
        <v>12</v>
      </c>
      <c r="J332" s="11" t="n">
        <v>4.7</v>
      </c>
      <c r="K332" s="13" t="n">
        <v>61.8</v>
      </c>
      <c r="L332" s="2" t="s">
        <v>87</v>
      </c>
      <c r="M332" s="14" t="n">
        <v>787</v>
      </c>
      <c r="N332" s="2" t="s">
        <v>73</v>
      </c>
      <c r="O332" s="14" t="n">
        <f aca="false">IFERROR(M332/I332,"")</f>
        <v>65.5833333333333</v>
      </c>
    </row>
    <row r="333" customFormat="false" ht="15" hidden="false" customHeight="false" outlineLevel="0" collapsed="false">
      <c r="A333" s="2" t="s">
        <v>676</v>
      </c>
      <c r="B333" s="2" t="s">
        <v>119</v>
      </c>
      <c r="C333" s="2" t="s">
        <v>102</v>
      </c>
      <c r="D333" s="2" t="s">
        <v>77</v>
      </c>
      <c r="E333" s="2" t="s">
        <v>90</v>
      </c>
      <c r="F333" s="2" t="s">
        <v>677</v>
      </c>
      <c r="G333" s="11" t="n">
        <v>35.3</v>
      </c>
      <c r="H333" s="11" t="n">
        <v>19.9</v>
      </c>
      <c r="I333" s="12" t="n">
        <v>15</v>
      </c>
      <c r="J333" s="11" t="n">
        <v>157.6</v>
      </c>
      <c r="K333" s="13" t="n">
        <v>80.8</v>
      </c>
      <c r="L333" s="2" t="s">
        <v>72</v>
      </c>
      <c r="M333" s="14" t="n">
        <v>9155</v>
      </c>
      <c r="N333" s="2" t="s">
        <v>73</v>
      </c>
      <c r="O333" s="14" t="n">
        <f aca="false">IFERROR(M333/I333,"")</f>
        <v>610.333333333333</v>
      </c>
    </row>
    <row r="334" customFormat="false" ht="15" hidden="false" customHeight="false" outlineLevel="0" collapsed="false">
      <c r="A334" s="2" t="s">
        <v>678</v>
      </c>
      <c r="B334" s="2" t="s">
        <v>93</v>
      </c>
      <c r="C334" s="2" t="s">
        <v>83</v>
      </c>
      <c r="D334" s="2" t="s">
        <v>122</v>
      </c>
      <c r="E334" s="2" t="s">
        <v>90</v>
      </c>
      <c r="F334" s="2" t="s">
        <v>618</v>
      </c>
      <c r="G334" s="11" t="n">
        <v>17.5</v>
      </c>
      <c r="H334" s="11" t="n">
        <v>9.2</v>
      </c>
      <c r="I334" s="12" t="n">
        <v>25</v>
      </c>
      <c r="J334" s="11" t="n">
        <v>63.8</v>
      </c>
      <c r="K334" s="13" t="n">
        <v>37.7</v>
      </c>
      <c r="L334" s="2" t="s">
        <v>109</v>
      </c>
      <c r="M334" s="14" t="n">
        <v>641</v>
      </c>
      <c r="N334" s="2" t="s">
        <v>73</v>
      </c>
      <c r="O334" s="14" t="n">
        <f aca="false">IFERROR(M334/I334,"")</f>
        <v>25.64</v>
      </c>
    </row>
    <row r="335" customFormat="false" ht="15" hidden="false" customHeight="false" outlineLevel="0" collapsed="false">
      <c r="A335" s="2" t="s">
        <v>679</v>
      </c>
      <c r="B335" s="2" t="s">
        <v>111</v>
      </c>
      <c r="C335" s="2" t="s">
        <v>76</v>
      </c>
      <c r="D335" s="2" t="s">
        <v>77</v>
      </c>
      <c r="E335" s="2" t="s">
        <v>85</v>
      </c>
      <c r="F335" s="2" t="s">
        <v>99</v>
      </c>
      <c r="G335" s="11" t="n">
        <v>40.9</v>
      </c>
      <c r="H335" s="11" t="n">
        <v>25.3</v>
      </c>
      <c r="I335" s="12" t="n">
        <v>6</v>
      </c>
      <c r="J335" s="11" t="n">
        <v>34.2</v>
      </c>
      <c r="K335" s="13" t="n">
        <v>67.8</v>
      </c>
      <c r="L335" s="2" t="s">
        <v>87</v>
      </c>
      <c r="M335" s="14" t="n">
        <v>21321</v>
      </c>
      <c r="N335" s="2" t="s">
        <v>73</v>
      </c>
      <c r="O335" s="14" t="n">
        <f aca="false">IFERROR(M335/I335,"")</f>
        <v>3553.5</v>
      </c>
    </row>
    <row r="336" customFormat="false" ht="15" hidden="false" customHeight="false" outlineLevel="0" collapsed="false">
      <c r="A336" s="2" t="s">
        <v>680</v>
      </c>
      <c r="B336" s="2" t="s">
        <v>192</v>
      </c>
      <c r="C336" s="2" t="s">
        <v>126</v>
      </c>
      <c r="D336" s="2" t="s">
        <v>77</v>
      </c>
      <c r="E336" s="2" t="s">
        <v>116</v>
      </c>
      <c r="F336" s="2" t="s">
        <v>251</v>
      </c>
      <c r="G336" s="11" t="n">
        <v>430.4</v>
      </c>
      <c r="H336" s="11" t="n">
        <v>439.5</v>
      </c>
      <c r="I336" s="12" t="n">
        <v>12</v>
      </c>
      <c r="J336" s="11" t="n">
        <v>1491</v>
      </c>
      <c r="K336" s="13" t="n">
        <v>82.6</v>
      </c>
      <c r="L336" s="2" t="s">
        <v>87</v>
      </c>
      <c r="M336" s="14" t="n">
        <v>159649</v>
      </c>
      <c r="N336" s="2" t="s">
        <v>135</v>
      </c>
      <c r="O336" s="14" t="n">
        <f aca="false">IFERROR(M336/I336,"")</f>
        <v>13304.0833333333</v>
      </c>
    </row>
    <row r="337" customFormat="false" ht="15" hidden="false" customHeight="false" outlineLevel="0" collapsed="false">
      <c r="A337" s="2" t="s">
        <v>681</v>
      </c>
      <c r="B337" s="2" t="s">
        <v>82</v>
      </c>
      <c r="C337" s="2" t="s">
        <v>83</v>
      </c>
      <c r="D337" s="2" t="s">
        <v>127</v>
      </c>
      <c r="E337" s="2" t="s">
        <v>78</v>
      </c>
      <c r="F337" s="2" t="s">
        <v>682</v>
      </c>
      <c r="G337" s="11" t="n">
        <v>15.6</v>
      </c>
      <c r="H337" s="11" t="n">
        <v>10.8</v>
      </c>
      <c r="I337" s="12" t="n">
        <v>13</v>
      </c>
      <c r="J337" s="11" t="n">
        <v>26.1</v>
      </c>
      <c r="K337" s="13" t="n">
        <v>44.9</v>
      </c>
      <c r="L337" s="2" t="s">
        <v>72</v>
      </c>
      <c r="M337" s="14" t="n">
        <v>728</v>
      </c>
      <c r="N337" s="2" t="s">
        <v>73</v>
      </c>
      <c r="O337" s="14" t="n">
        <f aca="false">IFERROR(M337/I337,"")</f>
        <v>56</v>
      </c>
    </row>
    <row r="338" customFormat="false" ht="15" hidden="false" customHeight="false" outlineLevel="0" collapsed="false">
      <c r="A338" s="2" t="s">
        <v>683</v>
      </c>
      <c r="B338" s="2" t="s">
        <v>96</v>
      </c>
      <c r="C338" s="2" t="s">
        <v>97</v>
      </c>
      <c r="D338" s="2" t="s">
        <v>77</v>
      </c>
      <c r="E338" s="2" t="s">
        <v>90</v>
      </c>
      <c r="F338" s="2" t="s">
        <v>646</v>
      </c>
      <c r="G338" s="11" t="n">
        <v>30.3</v>
      </c>
      <c r="H338" s="11" t="n">
        <v>22.6</v>
      </c>
      <c r="I338" s="12" t="n">
        <v>9</v>
      </c>
      <c r="J338" s="11" t="n">
        <v>94.4</v>
      </c>
      <c r="K338" s="13" t="n">
        <v>66.5</v>
      </c>
      <c r="L338" s="2" t="s">
        <v>87</v>
      </c>
      <c r="M338" s="14" t="n">
        <v>19532</v>
      </c>
      <c r="N338" s="2" t="s">
        <v>80</v>
      </c>
      <c r="O338" s="14" t="n">
        <f aca="false">IFERROR(M338/I338,"")</f>
        <v>2170.22222222222</v>
      </c>
    </row>
    <row r="339" customFormat="false" ht="15" hidden="false" customHeight="false" outlineLevel="0" collapsed="false">
      <c r="A339" s="2" t="s">
        <v>684</v>
      </c>
      <c r="B339" s="2" t="s">
        <v>82</v>
      </c>
      <c r="C339" s="2" t="s">
        <v>83</v>
      </c>
      <c r="D339" s="2" t="s">
        <v>77</v>
      </c>
      <c r="E339" s="2" t="s">
        <v>107</v>
      </c>
      <c r="F339" s="2" t="s">
        <v>685</v>
      </c>
      <c r="G339" s="11" t="n">
        <v>13.7</v>
      </c>
      <c r="H339" s="11" t="n">
        <v>7.8</v>
      </c>
      <c r="I339" s="12" t="n">
        <v>10</v>
      </c>
      <c r="J339" s="11" t="n">
        <v>21.5</v>
      </c>
      <c r="K339" s="13" t="n">
        <v>50</v>
      </c>
      <c r="L339" s="2" t="s">
        <v>72</v>
      </c>
      <c r="M339" s="14" t="n">
        <v>631</v>
      </c>
      <c r="N339" s="2" t="s">
        <v>80</v>
      </c>
      <c r="O339" s="14" t="n">
        <f aca="false">IFERROR(M339/I339,"")</f>
        <v>63.1</v>
      </c>
    </row>
    <row r="340" customFormat="false" ht="15" hidden="false" customHeight="false" outlineLevel="0" collapsed="false">
      <c r="A340" s="2" t="s">
        <v>686</v>
      </c>
      <c r="B340" s="2" t="s">
        <v>119</v>
      </c>
      <c r="C340" s="2" t="s">
        <v>102</v>
      </c>
      <c r="D340" s="2" t="s">
        <v>77</v>
      </c>
      <c r="E340" s="2" t="s">
        <v>107</v>
      </c>
      <c r="F340" s="2" t="s">
        <v>687</v>
      </c>
      <c r="G340" s="11" t="n">
        <v>35</v>
      </c>
      <c r="H340" s="11" t="n">
        <v>20.5</v>
      </c>
      <c r="I340" s="12" t="n">
        <v>6</v>
      </c>
      <c r="J340" s="11" t="n">
        <v>40.7</v>
      </c>
      <c r="K340" s="13" t="n">
        <v>71.2</v>
      </c>
      <c r="L340" s="2" t="s">
        <v>109</v>
      </c>
      <c r="M340" s="14" t="n">
        <v>6892</v>
      </c>
      <c r="N340" s="2" t="s">
        <v>73</v>
      </c>
      <c r="O340" s="14" t="n">
        <f aca="false">IFERROR(M340/I340,"")</f>
        <v>1148.66666666667</v>
      </c>
    </row>
    <row r="341" customFormat="false" ht="15" hidden="false" customHeight="false" outlineLevel="0" collapsed="false">
      <c r="A341" s="2" t="s">
        <v>688</v>
      </c>
      <c r="B341" s="2" t="s">
        <v>119</v>
      </c>
      <c r="C341" s="2" t="s">
        <v>102</v>
      </c>
      <c r="D341" s="2" t="s">
        <v>84</v>
      </c>
      <c r="E341" s="2" t="s">
        <v>98</v>
      </c>
      <c r="F341" s="2" t="s">
        <v>689</v>
      </c>
      <c r="G341" s="11" t="n">
        <v>43.8</v>
      </c>
      <c r="H341" s="11" t="n">
        <v>21.9</v>
      </c>
      <c r="I341" s="12" t="n">
        <v>26</v>
      </c>
      <c r="J341" s="11" t="n">
        <v>121.6</v>
      </c>
      <c r="K341" s="13" t="n">
        <v>89.5</v>
      </c>
      <c r="L341" s="2" t="s">
        <v>87</v>
      </c>
      <c r="M341" s="14" t="n">
        <v>9105</v>
      </c>
      <c r="N341" s="2" t="s">
        <v>73</v>
      </c>
      <c r="O341" s="14" t="n">
        <f aca="false">IFERROR(M341/I341,"")</f>
        <v>350.192307692308</v>
      </c>
    </row>
    <row r="342" customFormat="false" ht="15" hidden="false" customHeight="false" outlineLevel="0" collapsed="false">
      <c r="A342" s="2" t="s">
        <v>690</v>
      </c>
      <c r="B342" s="2" t="s">
        <v>101</v>
      </c>
      <c r="C342" s="2" t="s">
        <v>102</v>
      </c>
      <c r="D342" s="2" t="s">
        <v>130</v>
      </c>
      <c r="E342" s="2" t="s">
        <v>70</v>
      </c>
      <c r="F342" s="2" t="s">
        <v>691</v>
      </c>
      <c r="G342" s="11" t="n">
        <v>31.3</v>
      </c>
      <c r="H342" s="11" t="n">
        <v>23.4</v>
      </c>
      <c r="I342" s="12" t="n">
        <v>31</v>
      </c>
      <c r="J342" s="11" t="n">
        <v>125.5</v>
      </c>
      <c r="K342" s="13" t="n">
        <v>79.5</v>
      </c>
      <c r="L342" s="2" t="s">
        <v>72</v>
      </c>
      <c r="M342" s="14" t="n">
        <v>9345</v>
      </c>
      <c r="N342" s="2" t="s">
        <v>73</v>
      </c>
      <c r="O342" s="14" t="n">
        <f aca="false">IFERROR(M342/I342,"")</f>
        <v>301.451612903226</v>
      </c>
    </row>
    <row r="343" customFormat="false" ht="15" hidden="false" customHeight="false" outlineLevel="0" collapsed="false">
      <c r="A343" s="2" t="s">
        <v>692</v>
      </c>
      <c r="B343" s="2" t="s">
        <v>101</v>
      </c>
      <c r="C343" s="2" t="s">
        <v>102</v>
      </c>
      <c r="D343" s="2" t="s">
        <v>77</v>
      </c>
      <c r="E343" s="2" t="s">
        <v>70</v>
      </c>
      <c r="F343" s="2" t="s">
        <v>437</v>
      </c>
      <c r="G343" s="11" t="n">
        <v>29.2</v>
      </c>
      <c r="H343" s="11" t="n">
        <v>29.8</v>
      </c>
      <c r="I343" s="12" t="n">
        <v>19</v>
      </c>
      <c r="J343" s="11" t="n">
        <v>58.6</v>
      </c>
      <c r="K343" s="13" t="n">
        <v>85.3</v>
      </c>
      <c r="L343" s="2" t="s">
        <v>104</v>
      </c>
      <c r="M343" s="14" t="n">
        <v>10195</v>
      </c>
      <c r="N343" s="2" t="s">
        <v>73</v>
      </c>
      <c r="O343" s="14" t="n">
        <f aca="false">IFERROR(M343/I343,"")</f>
        <v>536.578947368421</v>
      </c>
    </row>
    <row r="344" customFormat="false" ht="15" hidden="false" customHeight="false" outlineLevel="0" collapsed="false">
      <c r="A344" s="2" t="s">
        <v>693</v>
      </c>
      <c r="B344" s="2" t="s">
        <v>67</v>
      </c>
      <c r="C344" s="2" t="s">
        <v>68</v>
      </c>
      <c r="D344" s="2" t="s">
        <v>77</v>
      </c>
      <c r="E344" s="2" t="s">
        <v>78</v>
      </c>
      <c r="F344" s="2" t="s">
        <v>694</v>
      </c>
      <c r="G344" s="11" t="n">
        <v>63.7</v>
      </c>
      <c r="H344" s="11" t="n">
        <v>14.9</v>
      </c>
      <c r="I344" s="12" t="n">
        <v>3</v>
      </c>
      <c r="J344" s="11" t="n">
        <v>28.9</v>
      </c>
      <c r="K344" s="13" t="n">
        <v>63.9</v>
      </c>
      <c r="L344" s="2" t="s">
        <v>109</v>
      </c>
      <c r="M344" s="14" t="n">
        <v>2727</v>
      </c>
      <c r="N344" s="2" t="s">
        <v>73</v>
      </c>
      <c r="O344" s="14" t="n">
        <f aca="false">IFERROR(M344/I344,"")</f>
        <v>909</v>
      </c>
    </row>
    <row r="345" customFormat="false" ht="15" hidden="false" customHeight="false" outlineLevel="0" collapsed="false">
      <c r="A345" s="2" t="s">
        <v>695</v>
      </c>
      <c r="B345" s="2" t="s">
        <v>75</v>
      </c>
      <c r="C345" s="2" t="s">
        <v>76</v>
      </c>
      <c r="D345" s="2" t="s">
        <v>77</v>
      </c>
      <c r="E345" s="2" t="s">
        <v>98</v>
      </c>
      <c r="F345" s="2" t="s">
        <v>696</v>
      </c>
      <c r="G345" s="11" t="n">
        <v>49.5</v>
      </c>
      <c r="H345" s="11" t="n">
        <v>18.6</v>
      </c>
      <c r="I345" s="12" t="n">
        <v>13</v>
      </c>
      <c r="J345" s="11" t="n">
        <v>27.9</v>
      </c>
      <c r="K345" s="13" t="n">
        <v>72.7</v>
      </c>
      <c r="L345" s="2" t="s">
        <v>87</v>
      </c>
      <c r="M345" s="14" t="n">
        <v>23218</v>
      </c>
      <c r="N345" s="2" t="s">
        <v>73</v>
      </c>
      <c r="O345" s="14" t="n">
        <f aca="false">IFERROR(M345/I345,"")</f>
        <v>1786</v>
      </c>
    </row>
    <row r="346" customFormat="false" ht="15" hidden="false" customHeight="false" outlineLevel="0" collapsed="false">
      <c r="A346" s="2" t="s">
        <v>697</v>
      </c>
      <c r="B346" s="2" t="s">
        <v>125</v>
      </c>
      <c r="C346" s="2" t="s">
        <v>126</v>
      </c>
      <c r="D346" s="2" t="s">
        <v>77</v>
      </c>
      <c r="E346" s="2" t="s">
        <v>85</v>
      </c>
      <c r="F346" s="2" t="s">
        <v>698</v>
      </c>
      <c r="G346" s="11" t="n">
        <v>364.2</v>
      </c>
      <c r="H346" s="11" t="n">
        <v>523.3</v>
      </c>
      <c r="I346" s="12" t="n">
        <v>8</v>
      </c>
      <c r="J346" s="11" t="n">
        <v>275.7</v>
      </c>
      <c r="K346" s="13" t="n">
        <v>82</v>
      </c>
      <c r="L346" s="2" t="s">
        <v>87</v>
      </c>
      <c r="M346" s="14" t="n">
        <v>152148</v>
      </c>
      <c r="N346" s="2" t="s">
        <v>73</v>
      </c>
      <c r="O346" s="14" t="n">
        <f aca="false">IFERROR(M346/I346,"")</f>
        <v>19018.5</v>
      </c>
    </row>
    <row r="347" customFormat="false" ht="15" hidden="false" customHeight="false" outlineLevel="0" collapsed="false">
      <c r="A347" s="2" t="s">
        <v>699</v>
      </c>
      <c r="B347" s="2" t="s">
        <v>82</v>
      </c>
      <c r="C347" s="2" t="s">
        <v>83</v>
      </c>
      <c r="D347" s="2" t="s">
        <v>77</v>
      </c>
      <c r="E347" s="2" t="s">
        <v>90</v>
      </c>
      <c r="F347" s="2" t="s">
        <v>700</v>
      </c>
      <c r="G347" s="11" t="n">
        <v>15.8</v>
      </c>
      <c r="H347" s="11" t="n">
        <v>8.1</v>
      </c>
      <c r="I347" s="12" t="n">
        <v>34</v>
      </c>
      <c r="J347" s="11" t="n">
        <v>100.9</v>
      </c>
      <c r="K347" s="13" t="n">
        <v>57.8</v>
      </c>
      <c r="L347" s="2" t="s">
        <v>72</v>
      </c>
      <c r="M347" s="14" t="n">
        <v>815</v>
      </c>
      <c r="N347" s="2" t="s">
        <v>80</v>
      </c>
      <c r="O347" s="14" t="n">
        <f aca="false">IFERROR(M347/I347,"")</f>
        <v>23.9705882352941</v>
      </c>
    </row>
    <row r="348" customFormat="false" ht="15" hidden="false" customHeight="false" outlineLevel="0" collapsed="false">
      <c r="A348" s="2" t="s">
        <v>701</v>
      </c>
      <c r="B348" s="2" t="s">
        <v>89</v>
      </c>
      <c r="C348" s="2" t="s">
        <v>83</v>
      </c>
      <c r="D348" s="2" t="s">
        <v>84</v>
      </c>
      <c r="E348" s="2" t="s">
        <v>98</v>
      </c>
      <c r="F348" s="2" t="s">
        <v>669</v>
      </c>
      <c r="G348" s="11" t="n">
        <v>14.8</v>
      </c>
      <c r="H348" s="11" t="n">
        <v>8</v>
      </c>
      <c r="I348" s="12" t="n">
        <v>15</v>
      </c>
      <c r="J348" s="11" t="n">
        <v>29.8</v>
      </c>
      <c r="K348" s="13" t="n">
        <v>62.9</v>
      </c>
      <c r="L348" s="2" t="s">
        <v>104</v>
      </c>
      <c r="M348" s="14" t="n">
        <v>741</v>
      </c>
      <c r="N348" s="2" t="s">
        <v>135</v>
      </c>
      <c r="O348" s="14" t="n">
        <f aca="false">IFERROR(M348/I348,"")</f>
        <v>49.4</v>
      </c>
    </row>
    <row r="349" customFormat="false" ht="15" hidden="false" customHeight="false" outlineLevel="0" collapsed="false">
      <c r="A349" s="2" t="s">
        <v>702</v>
      </c>
      <c r="B349" s="2" t="s">
        <v>67</v>
      </c>
      <c r="C349" s="2" t="s">
        <v>68</v>
      </c>
      <c r="D349" s="2" t="s">
        <v>77</v>
      </c>
      <c r="E349" s="2" t="s">
        <v>78</v>
      </c>
      <c r="F349" s="2" t="s">
        <v>703</v>
      </c>
      <c r="G349" s="11" t="n">
        <v>54.3</v>
      </c>
      <c r="H349" s="11" t="n">
        <v>14</v>
      </c>
      <c r="I349" s="12" t="n">
        <v>7</v>
      </c>
      <c r="J349" s="11" t="n">
        <v>84.1</v>
      </c>
      <c r="K349" s="13" t="n">
        <v>57.6</v>
      </c>
      <c r="L349" s="2" t="s">
        <v>109</v>
      </c>
      <c r="M349" s="14" t="n">
        <v>3383</v>
      </c>
      <c r="N349" s="2" t="s">
        <v>135</v>
      </c>
      <c r="O349" s="14" t="n">
        <f aca="false">IFERROR(M349/I349,"")</f>
        <v>483.285714285714</v>
      </c>
    </row>
    <row r="350" customFormat="false" ht="15" hidden="false" customHeight="false" outlineLevel="0" collapsed="false">
      <c r="A350" s="2" t="s">
        <v>704</v>
      </c>
      <c r="B350" s="2" t="s">
        <v>165</v>
      </c>
      <c r="C350" s="2" t="s">
        <v>68</v>
      </c>
      <c r="D350" s="2" t="s">
        <v>84</v>
      </c>
      <c r="E350" s="2" t="s">
        <v>107</v>
      </c>
      <c r="F350" s="2" t="s">
        <v>705</v>
      </c>
      <c r="G350" s="11" t="n">
        <v>56.1</v>
      </c>
      <c r="H350" s="11" t="n">
        <v>18.6</v>
      </c>
      <c r="I350" s="12" t="n">
        <v>7</v>
      </c>
      <c r="J350" s="11" t="n">
        <v>59.9</v>
      </c>
      <c r="K350" s="13" t="n">
        <v>74.8</v>
      </c>
      <c r="L350" s="2" t="s">
        <v>109</v>
      </c>
      <c r="M350" s="14" t="n">
        <v>2722</v>
      </c>
      <c r="N350" s="2" t="s">
        <v>73</v>
      </c>
      <c r="O350" s="14" t="n">
        <f aca="false">IFERROR(M350/I350,"")</f>
        <v>388.857142857143</v>
      </c>
    </row>
    <row r="351" customFormat="false" ht="15" hidden="false" customHeight="false" outlineLevel="0" collapsed="false">
      <c r="A351" s="2" t="s">
        <v>706</v>
      </c>
      <c r="B351" s="2" t="s">
        <v>133</v>
      </c>
      <c r="C351" s="2" t="s">
        <v>97</v>
      </c>
      <c r="D351" s="2" t="s">
        <v>77</v>
      </c>
      <c r="E351" s="2" t="s">
        <v>70</v>
      </c>
      <c r="F351" s="2" t="s">
        <v>521</v>
      </c>
      <c r="G351" s="11" t="n">
        <v>35.4</v>
      </c>
      <c r="H351" s="11" t="n">
        <v>33.9</v>
      </c>
      <c r="I351" s="12" t="n">
        <v>12</v>
      </c>
      <c r="J351" s="11" t="n">
        <v>77.4</v>
      </c>
      <c r="K351" s="13" t="n">
        <v>54.8</v>
      </c>
      <c r="L351" s="2" t="s">
        <v>72</v>
      </c>
      <c r="M351" s="14" t="n">
        <v>18926</v>
      </c>
      <c r="N351" s="2" t="s">
        <v>80</v>
      </c>
      <c r="O351" s="14" t="n">
        <f aca="false">IFERROR(M351/I351,"")</f>
        <v>1577.16666666667</v>
      </c>
    </row>
    <row r="352" customFormat="false" ht="15" hidden="false" customHeight="false" outlineLevel="0" collapsed="false">
      <c r="A352" s="2" t="s">
        <v>707</v>
      </c>
      <c r="B352" s="2" t="s">
        <v>106</v>
      </c>
      <c r="C352" s="2" t="s">
        <v>68</v>
      </c>
      <c r="D352" s="2" t="s">
        <v>122</v>
      </c>
      <c r="E352" s="2" t="s">
        <v>98</v>
      </c>
      <c r="F352" s="2" t="s">
        <v>634</v>
      </c>
      <c r="G352" s="11" t="n">
        <v>61</v>
      </c>
      <c r="H352" s="11" t="n">
        <v>20.7</v>
      </c>
      <c r="I352" s="12" t="n">
        <v>16</v>
      </c>
      <c r="J352" s="11" t="n">
        <v>143.6</v>
      </c>
      <c r="K352" s="13" t="n">
        <v>77.4</v>
      </c>
      <c r="L352" s="2" t="s">
        <v>104</v>
      </c>
      <c r="M352" s="14" t="n">
        <v>3410</v>
      </c>
      <c r="N352" s="2" t="s">
        <v>73</v>
      </c>
      <c r="O352" s="14" t="n">
        <f aca="false">IFERROR(M352/I352,"")</f>
        <v>213.125</v>
      </c>
    </row>
    <row r="353" customFormat="false" ht="15" hidden="false" customHeight="false" outlineLevel="0" collapsed="false">
      <c r="A353" s="2" t="s">
        <v>708</v>
      </c>
      <c r="B353" s="2" t="s">
        <v>125</v>
      </c>
      <c r="C353" s="2" t="s">
        <v>126</v>
      </c>
      <c r="D353" s="2" t="s">
        <v>84</v>
      </c>
      <c r="E353" s="2" t="s">
        <v>78</v>
      </c>
      <c r="F353" s="2" t="s">
        <v>709</v>
      </c>
      <c r="G353" s="11" t="n">
        <v>456.9</v>
      </c>
      <c r="H353" s="11" t="n">
        <v>712.3</v>
      </c>
      <c r="I353" s="12" t="n">
        <v>8</v>
      </c>
      <c r="J353" s="11" t="n">
        <v>845.6</v>
      </c>
      <c r="K353" s="13" t="n">
        <v>72.7</v>
      </c>
      <c r="L353" s="2" t="s">
        <v>104</v>
      </c>
      <c r="M353" s="14" t="n">
        <v>210256</v>
      </c>
      <c r="N353" s="2" t="s">
        <v>73</v>
      </c>
      <c r="O353" s="14" t="n">
        <f aca="false">IFERROR(M353/I353,"")</f>
        <v>26282</v>
      </c>
    </row>
    <row r="354" customFormat="false" ht="15" hidden="false" customHeight="false" outlineLevel="0" collapsed="false">
      <c r="A354" s="2" t="s">
        <v>710</v>
      </c>
      <c r="B354" s="2" t="s">
        <v>67</v>
      </c>
      <c r="C354" s="2" t="s">
        <v>68</v>
      </c>
      <c r="D354" s="2" t="s">
        <v>77</v>
      </c>
      <c r="E354" s="2" t="s">
        <v>78</v>
      </c>
      <c r="F354" s="2" t="s">
        <v>201</v>
      </c>
      <c r="G354" s="11" t="n">
        <v>59.3</v>
      </c>
      <c r="H354" s="11" t="n">
        <v>13.3</v>
      </c>
      <c r="I354" s="12" t="n">
        <v>7</v>
      </c>
      <c r="J354" s="11" t="n">
        <v>73.7</v>
      </c>
      <c r="K354" s="13" t="n">
        <v>76.3</v>
      </c>
      <c r="L354" s="2" t="s">
        <v>109</v>
      </c>
      <c r="M354" s="14" t="n">
        <v>2270</v>
      </c>
      <c r="N354" s="2" t="s">
        <v>73</v>
      </c>
      <c r="O354" s="14" t="n">
        <f aca="false">IFERROR(M354/I354,"")</f>
        <v>324.285714285714</v>
      </c>
    </row>
    <row r="355" customFormat="false" ht="15" hidden="false" customHeight="false" outlineLevel="0" collapsed="false">
      <c r="A355" s="2" t="s">
        <v>711</v>
      </c>
      <c r="B355" s="2" t="s">
        <v>93</v>
      </c>
      <c r="C355" s="2" t="s">
        <v>83</v>
      </c>
      <c r="D355" s="2" t="s">
        <v>84</v>
      </c>
      <c r="E355" s="2" t="s">
        <v>116</v>
      </c>
      <c r="F355" s="2" t="s">
        <v>712</v>
      </c>
      <c r="G355" s="11" t="n">
        <v>12.9</v>
      </c>
      <c r="H355" s="11" t="n">
        <v>11.2</v>
      </c>
      <c r="I355" s="12" t="n">
        <v>18</v>
      </c>
      <c r="J355" s="11" t="n">
        <v>17.8</v>
      </c>
      <c r="K355" s="13" t="n">
        <v>61.8</v>
      </c>
      <c r="L355" s="2" t="s">
        <v>87</v>
      </c>
      <c r="M355" s="14" t="n">
        <v>667</v>
      </c>
      <c r="N355" s="2" t="s">
        <v>73</v>
      </c>
      <c r="O355" s="14" t="n">
        <f aca="false">IFERROR(M355/I355,"")</f>
        <v>37.0555555555556</v>
      </c>
    </row>
    <row r="356" customFormat="false" ht="15" hidden="false" customHeight="false" outlineLevel="0" collapsed="false">
      <c r="A356" s="2" t="s">
        <v>713</v>
      </c>
      <c r="B356" s="2" t="s">
        <v>67</v>
      </c>
      <c r="C356" s="2" t="s">
        <v>68</v>
      </c>
      <c r="D356" s="2" t="s">
        <v>84</v>
      </c>
      <c r="E356" s="2" t="s">
        <v>78</v>
      </c>
      <c r="F356" s="2" t="s">
        <v>714</v>
      </c>
      <c r="G356" s="11" t="n">
        <v>52.9</v>
      </c>
      <c r="H356" s="11" t="n">
        <v>19.3</v>
      </c>
      <c r="I356" s="12" t="n">
        <v>18</v>
      </c>
      <c r="J356" s="11" t="n">
        <v>164.3</v>
      </c>
      <c r="K356" s="13" t="n">
        <v>80.7</v>
      </c>
      <c r="L356" s="2" t="s">
        <v>104</v>
      </c>
      <c r="M356" s="14" t="n">
        <v>4005</v>
      </c>
      <c r="N356" s="2" t="s">
        <v>73</v>
      </c>
      <c r="O356" s="14" t="n">
        <f aca="false">IFERROR(M356/I356,"")</f>
        <v>222.5</v>
      </c>
    </row>
    <row r="357" customFormat="false" ht="15" hidden="false" customHeight="false" outlineLevel="0" collapsed="false">
      <c r="A357" s="2" t="s">
        <v>715</v>
      </c>
      <c r="B357" s="2" t="s">
        <v>111</v>
      </c>
      <c r="C357" s="2" t="s">
        <v>76</v>
      </c>
      <c r="D357" s="2" t="s">
        <v>127</v>
      </c>
      <c r="E357" s="2" t="s">
        <v>98</v>
      </c>
      <c r="F357" s="2" t="s">
        <v>716</v>
      </c>
      <c r="G357" s="11" t="n">
        <v>41.4</v>
      </c>
      <c r="H357" s="11" t="n">
        <v>26.2</v>
      </c>
      <c r="I357" s="12" t="n">
        <v>7</v>
      </c>
      <c r="J357" s="11" t="n">
        <v>71.5</v>
      </c>
      <c r="K357" s="13" t="n">
        <v>65</v>
      </c>
      <c r="L357" s="2" t="s">
        <v>104</v>
      </c>
      <c r="M357" s="14" t="n">
        <v>13275</v>
      </c>
      <c r="N357" s="2" t="s">
        <v>80</v>
      </c>
      <c r="O357" s="14" t="n">
        <f aca="false">IFERROR(M357/I357,"")</f>
        <v>1896.42857142857</v>
      </c>
    </row>
    <row r="358" customFormat="false" ht="15" hidden="false" customHeight="false" outlineLevel="0" collapsed="false">
      <c r="A358" s="2" t="s">
        <v>717</v>
      </c>
      <c r="B358" s="2" t="s">
        <v>82</v>
      </c>
      <c r="C358" s="2" t="s">
        <v>83</v>
      </c>
      <c r="D358" s="2" t="s">
        <v>77</v>
      </c>
      <c r="E358" s="2" t="s">
        <v>107</v>
      </c>
      <c r="F358" s="2" t="s">
        <v>718</v>
      </c>
      <c r="G358" s="11" t="n">
        <v>12.4</v>
      </c>
      <c r="H358" s="11" t="n">
        <v>8.8</v>
      </c>
      <c r="I358" s="12" t="n">
        <v>74</v>
      </c>
      <c r="J358" s="11" t="n">
        <v>130.5</v>
      </c>
      <c r="K358" s="13" t="n">
        <v>41.8</v>
      </c>
      <c r="L358" s="2" t="s">
        <v>109</v>
      </c>
      <c r="M358" s="14" t="n">
        <v>684</v>
      </c>
      <c r="N358" s="2" t="s">
        <v>135</v>
      </c>
      <c r="O358" s="14" t="n">
        <f aca="false">IFERROR(M358/I358,"")</f>
        <v>9.24324324324324</v>
      </c>
    </row>
    <row r="359" customFormat="false" ht="15" hidden="false" customHeight="false" outlineLevel="0" collapsed="false">
      <c r="A359" s="2" t="s">
        <v>719</v>
      </c>
      <c r="B359" s="2" t="s">
        <v>89</v>
      </c>
      <c r="C359" s="2" t="s">
        <v>83</v>
      </c>
      <c r="D359" s="2" t="s">
        <v>77</v>
      </c>
      <c r="E359" s="2" t="s">
        <v>85</v>
      </c>
      <c r="F359" s="2" t="s">
        <v>720</v>
      </c>
      <c r="G359" s="11" t="n">
        <v>15.1</v>
      </c>
      <c r="H359" s="11" t="n">
        <v>9.8</v>
      </c>
      <c r="I359" s="12" t="n">
        <v>34</v>
      </c>
      <c r="J359" s="11" t="n">
        <v>67.3</v>
      </c>
      <c r="K359" s="13" t="n">
        <v>54.3</v>
      </c>
      <c r="L359" s="2" t="s">
        <v>104</v>
      </c>
      <c r="M359" s="14" t="n">
        <v>803</v>
      </c>
      <c r="N359" s="2" t="s">
        <v>73</v>
      </c>
      <c r="O359" s="14" t="n">
        <f aca="false">IFERROR(M359/I359,"")</f>
        <v>23.6176470588235</v>
      </c>
    </row>
    <row r="360" customFormat="false" ht="15" hidden="false" customHeight="false" outlineLevel="0" collapsed="false">
      <c r="A360" s="2" t="s">
        <v>721</v>
      </c>
      <c r="B360" s="2" t="s">
        <v>82</v>
      </c>
      <c r="C360" s="2" t="s">
        <v>83</v>
      </c>
      <c r="D360" s="2" t="s">
        <v>127</v>
      </c>
      <c r="E360" s="2" t="s">
        <v>78</v>
      </c>
      <c r="F360" s="2" t="s">
        <v>722</v>
      </c>
      <c r="G360" s="11" t="n">
        <v>16.3</v>
      </c>
      <c r="H360" s="11" t="n">
        <v>9.7</v>
      </c>
      <c r="I360" s="12" t="n">
        <v>22</v>
      </c>
      <c r="J360" s="11" t="n">
        <v>99.9</v>
      </c>
      <c r="K360" s="13" t="n">
        <v>44.9</v>
      </c>
      <c r="L360" s="2" t="s">
        <v>72</v>
      </c>
      <c r="M360" s="14" t="n">
        <v>475</v>
      </c>
      <c r="N360" s="2" t="s">
        <v>80</v>
      </c>
      <c r="O360" s="14" t="n">
        <f aca="false">IFERROR(M360/I360,"")</f>
        <v>21.5909090909091</v>
      </c>
    </row>
    <row r="361" customFormat="false" ht="15" hidden="false" customHeight="false" outlineLevel="0" collapsed="false">
      <c r="A361" s="2" t="s">
        <v>723</v>
      </c>
      <c r="B361" s="2" t="s">
        <v>89</v>
      </c>
      <c r="C361" s="2" t="s">
        <v>83</v>
      </c>
      <c r="D361" s="2" t="s">
        <v>77</v>
      </c>
      <c r="E361" s="2" t="s">
        <v>98</v>
      </c>
      <c r="F361" s="2" t="s">
        <v>309</v>
      </c>
      <c r="G361" s="11" t="n">
        <v>13.9</v>
      </c>
      <c r="H361" s="11" t="n">
        <v>10.8</v>
      </c>
      <c r="I361" s="12" t="n">
        <v>33</v>
      </c>
      <c r="J361" s="11" t="n">
        <v>64.4</v>
      </c>
      <c r="K361" s="13" t="n">
        <v>52.5</v>
      </c>
      <c r="L361" s="2" t="s">
        <v>87</v>
      </c>
      <c r="M361" s="14" t="n">
        <v>635</v>
      </c>
      <c r="N361" s="2" t="s">
        <v>73</v>
      </c>
      <c r="O361" s="14" t="n">
        <f aca="false">IFERROR(M361/I361,"")</f>
        <v>19.2424242424242</v>
      </c>
    </row>
    <row r="362" customFormat="false" ht="15" hidden="false" customHeight="false" outlineLevel="0" collapsed="false">
      <c r="A362" s="2" t="s">
        <v>724</v>
      </c>
      <c r="B362" s="2" t="s">
        <v>111</v>
      </c>
      <c r="C362" s="2" t="s">
        <v>76</v>
      </c>
      <c r="D362" s="2" t="s">
        <v>84</v>
      </c>
      <c r="E362" s="2" t="s">
        <v>116</v>
      </c>
      <c r="F362" s="2" t="s">
        <v>725</v>
      </c>
      <c r="G362" s="11" t="n">
        <v>37.4</v>
      </c>
      <c r="H362" s="11" t="n">
        <v>19.6</v>
      </c>
      <c r="I362" s="12" t="n">
        <v>6</v>
      </c>
      <c r="J362" s="11" t="n">
        <v>50.9</v>
      </c>
      <c r="K362" s="13" t="n">
        <v>68.9</v>
      </c>
      <c r="L362" s="2" t="s">
        <v>87</v>
      </c>
      <c r="M362" s="14" t="n">
        <v>20617</v>
      </c>
      <c r="N362" s="2" t="s">
        <v>80</v>
      </c>
      <c r="O362" s="14" t="n">
        <f aca="false">IFERROR(M362/I362,"")</f>
        <v>3436.16666666667</v>
      </c>
    </row>
    <row r="363" customFormat="false" ht="15" hidden="false" customHeight="false" outlineLevel="0" collapsed="false">
      <c r="A363" s="2" t="s">
        <v>726</v>
      </c>
      <c r="B363" s="2" t="s">
        <v>106</v>
      </c>
      <c r="C363" s="2" t="s">
        <v>68</v>
      </c>
      <c r="D363" s="2" t="s">
        <v>84</v>
      </c>
      <c r="E363" s="2" t="s">
        <v>90</v>
      </c>
      <c r="F363" s="2" t="s">
        <v>603</v>
      </c>
      <c r="G363" s="11" t="n">
        <v>49.3</v>
      </c>
      <c r="H363" s="11" t="n">
        <v>16.1</v>
      </c>
      <c r="I363" s="12" t="n">
        <v>14</v>
      </c>
      <c r="J363" s="11" t="n">
        <v>145</v>
      </c>
      <c r="K363" s="13" t="n">
        <v>78.1</v>
      </c>
      <c r="L363" s="2" t="s">
        <v>72</v>
      </c>
      <c r="M363" s="14" t="n">
        <v>3099</v>
      </c>
      <c r="N363" s="2" t="s">
        <v>73</v>
      </c>
      <c r="O363" s="14" t="n">
        <f aca="false">IFERROR(M363/I363,"")</f>
        <v>221.357142857143</v>
      </c>
    </row>
    <row r="364" customFormat="false" ht="15" hidden="false" customHeight="false" outlineLevel="0" collapsed="false">
      <c r="A364" s="2" t="s">
        <v>727</v>
      </c>
      <c r="B364" s="2" t="s">
        <v>96</v>
      </c>
      <c r="C364" s="2" t="s">
        <v>97</v>
      </c>
      <c r="D364" s="2" t="s">
        <v>122</v>
      </c>
      <c r="E364" s="2" t="s">
        <v>107</v>
      </c>
      <c r="F364" s="2" t="s">
        <v>728</v>
      </c>
      <c r="G364" s="11" t="n">
        <v>34.4</v>
      </c>
      <c r="H364" s="11" t="n">
        <v>33.3</v>
      </c>
      <c r="I364" s="12" t="n">
        <v>6</v>
      </c>
      <c r="J364" s="11" t="n">
        <v>22.5</v>
      </c>
      <c r="K364" s="13" t="n">
        <v>36.4</v>
      </c>
      <c r="L364" s="2" t="s">
        <v>109</v>
      </c>
      <c r="M364" s="14" t="n">
        <v>12403</v>
      </c>
      <c r="N364" s="2" t="s">
        <v>138</v>
      </c>
      <c r="O364" s="14" t="n">
        <f aca="false">IFERROR(M364/I364,"")</f>
        <v>2067.16666666667</v>
      </c>
    </row>
    <row r="365" customFormat="false" ht="15" hidden="false" customHeight="false" outlineLevel="0" collapsed="false">
      <c r="A365" s="2" t="s">
        <v>729</v>
      </c>
      <c r="B365" s="2" t="s">
        <v>133</v>
      </c>
      <c r="C365" s="2" t="s">
        <v>97</v>
      </c>
      <c r="D365" s="2" t="s">
        <v>69</v>
      </c>
      <c r="E365" s="2" t="s">
        <v>116</v>
      </c>
      <c r="F365" s="2" t="s">
        <v>730</v>
      </c>
      <c r="G365" s="11" t="n">
        <v>25.9</v>
      </c>
      <c r="H365" s="11" t="n">
        <v>42.3</v>
      </c>
      <c r="I365" s="12" t="n">
        <v>5</v>
      </c>
      <c r="J365" s="11" t="n">
        <v>22.9</v>
      </c>
      <c r="K365" s="13" t="n">
        <v>55.7</v>
      </c>
      <c r="L365" s="2" t="s">
        <v>104</v>
      </c>
      <c r="M365" s="14" t="n">
        <v>11703</v>
      </c>
      <c r="N365" s="2" t="s">
        <v>135</v>
      </c>
      <c r="O365" s="14" t="n">
        <f aca="false">IFERROR(M365/I365,"")</f>
        <v>2340.6</v>
      </c>
    </row>
    <row r="366" customFormat="false" ht="15" hidden="false" customHeight="false" outlineLevel="0" collapsed="false">
      <c r="A366" s="2" t="s">
        <v>731</v>
      </c>
      <c r="B366" s="2" t="s">
        <v>101</v>
      </c>
      <c r="C366" s="2" t="s">
        <v>102</v>
      </c>
      <c r="D366" s="2" t="s">
        <v>69</v>
      </c>
      <c r="E366" s="2" t="s">
        <v>98</v>
      </c>
      <c r="F366" s="2" t="s">
        <v>732</v>
      </c>
      <c r="G366" s="11" t="n">
        <v>30.1</v>
      </c>
      <c r="H366" s="11" t="n">
        <v>30.9</v>
      </c>
      <c r="I366" s="12" t="n">
        <v>7</v>
      </c>
      <c r="J366" s="11" t="n">
        <v>23.5</v>
      </c>
      <c r="K366" s="13" t="n">
        <v>97.7</v>
      </c>
      <c r="L366" s="2" t="s">
        <v>104</v>
      </c>
      <c r="M366" s="14" t="n">
        <v>7305</v>
      </c>
      <c r="N366" s="2" t="s">
        <v>73</v>
      </c>
      <c r="O366" s="14" t="n">
        <f aca="false">IFERROR(M366/I366,"")</f>
        <v>1043.57142857143</v>
      </c>
    </row>
    <row r="367" customFormat="false" ht="15" hidden="false" customHeight="false" outlineLevel="0" collapsed="false">
      <c r="A367" s="2" t="s">
        <v>733</v>
      </c>
      <c r="B367" s="2" t="s">
        <v>82</v>
      </c>
      <c r="C367" s="2" t="s">
        <v>83</v>
      </c>
      <c r="D367" s="2" t="s">
        <v>77</v>
      </c>
      <c r="E367" s="2" t="s">
        <v>90</v>
      </c>
      <c r="F367" s="2" t="s">
        <v>538</v>
      </c>
      <c r="G367" s="11" t="n">
        <v>11.2</v>
      </c>
      <c r="H367" s="11" t="n">
        <v>7.3</v>
      </c>
      <c r="I367" s="12" t="n">
        <v>4</v>
      </c>
      <c r="J367" s="11" t="n">
        <v>8.2</v>
      </c>
      <c r="K367" s="13" t="n">
        <v>52.5</v>
      </c>
      <c r="L367" s="2" t="s">
        <v>72</v>
      </c>
      <c r="M367" s="14" t="n">
        <v>643</v>
      </c>
      <c r="N367" s="2" t="s">
        <v>80</v>
      </c>
      <c r="O367" s="14" t="n">
        <f aca="false">IFERROR(M367/I367,"")</f>
        <v>160.75</v>
      </c>
    </row>
    <row r="368" customFormat="false" ht="15" hidden="false" customHeight="false" outlineLevel="0" collapsed="false">
      <c r="A368" s="2" t="s">
        <v>734</v>
      </c>
      <c r="B368" s="2" t="s">
        <v>101</v>
      </c>
      <c r="C368" s="2" t="s">
        <v>102</v>
      </c>
      <c r="D368" s="2" t="s">
        <v>77</v>
      </c>
      <c r="E368" s="2" t="s">
        <v>107</v>
      </c>
      <c r="F368" s="2" t="s">
        <v>333</v>
      </c>
      <c r="G368" s="11" t="n">
        <v>33.8</v>
      </c>
      <c r="H368" s="11" t="n">
        <v>26.9</v>
      </c>
      <c r="I368" s="12" t="n">
        <v>10</v>
      </c>
      <c r="J368" s="11" t="n">
        <v>26.6</v>
      </c>
      <c r="K368" s="13" t="n">
        <v>82.3</v>
      </c>
      <c r="L368" s="2" t="s">
        <v>109</v>
      </c>
      <c r="M368" s="14" t="n">
        <v>8622</v>
      </c>
      <c r="N368" s="2" t="s">
        <v>73</v>
      </c>
      <c r="O368" s="14" t="n">
        <f aca="false">IFERROR(M368/I368,"")</f>
        <v>862.2</v>
      </c>
    </row>
    <row r="369" customFormat="false" ht="15" hidden="false" customHeight="false" outlineLevel="0" collapsed="false">
      <c r="A369" s="2" t="s">
        <v>735</v>
      </c>
      <c r="B369" s="2" t="s">
        <v>67</v>
      </c>
      <c r="C369" s="2" t="s">
        <v>68</v>
      </c>
      <c r="D369" s="2" t="s">
        <v>77</v>
      </c>
      <c r="E369" s="2" t="s">
        <v>98</v>
      </c>
      <c r="F369" s="2" t="s">
        <v>147</v>
      </c>
      <c r="G369" s="11" t="n">
        <v>64.7</v>
      </c>
      <c r="H369" s="11" t="n">
        <v>17.8</v>
      </c>
      <c r="I369" s="12" t="n">
        <v>33</v>
      </c>
      <c r="J369" s="11" t="n">
        <v>527.8</v>
      </c>
      <c r="K369" s="13" t="n">
        <v>88</v>
      </c>
      <c r="L369" s="2" t="s">
        <v>104</v>
      </c>
      <c r="M369" s="14" t="n">
        <v>2644</v>
      </c>
      <c r="N369" s="2" t="s">
        <v>135</v>
      </c>
      <c r="O369" s="14" t="n">
        <f aca="false">IFERROR(M369/I369,"")</f>
        <v>80.1212121212121</v>
      </c>
    </row>
    <row r="370" customFormat="false" ht="15" hidden="false" customHeight="false" outlineLevel="0" collapsed="false">
      <c r="A370" s="2" t="s">
        <v>736</v>
      </c>
      <c r="B370" s="2" t="s">
        <v>101</v>
      </c>
      <c r="C370" s="2" t="s">
        <v>102</v>
      </c>
      <c r="D370" s="2" t="s">
        <v>122</v>
      </c>
      <c r="E370" s="2" t="s">
        <v>85</v>
      </c>
      <c r="F370" s="2" t="s">
        <v>737</v>
      </c>
      <c r="G370" s="11" t="n">
        <v>42.5</v>
      </c>
      <c r="H370" s="11" t="n">
        <v>23.9</v>
      </c>
      <c r="I370" s="12" t="n">
        <v>14</v>
      </c>
      <c r="J370" s="11" t="n">
        <v>56.1</v>
      </c>
      <c r="K370" s="13" t="n">
        <v>91.1</v>
      </c>
      <c r="L370" s="2" t="s">
        <v>104</v>
      </c>
      <c r="M370" s="14" t="n">
        <v>7564</v>
      </c>
      <c r="N370" s="2" t="s">
        <v>135</v>
      </c>
      <c r="O370" s="14" t="n">
        <f aca="false">IFERROR(M370/I370,"")</f>
        <v>540.285714285714</v>
      </c>
    </row>
    <row r="371" customFormat="false" ht="15" hidden="false" customHeight="false" outlineLevel="0" collapsed="false">
      <c r="A371" s="2" t="s">
        <v>738</v>
      </c>
      <c r="B371" s="2" t="s">
        <v>67</v>
      </c>
      <c r="C371" s="2" t="s">
        <v>68</v>
      </c>
      <c r="D371" s="2" t="s">
        <v>69</v>
      </c>
      <c r="E371" s="2" t="s">
        <v>90</v>
      </c>
      <c r="F371" s="2" t="s">
        <v>739</v>
      </c>
      <c r="G371" s="11" t="n">
        <v>59.9</v>
      </c>
      <c r="H371" s="11" t="n">
        <v>19.4</v>
      </c>
      <c r="I371" s="12" t="n">
        <v>19</v>
      </c>
      <c r="J371" s="11" t="n">
        <v>242.6</v>
      </c>
      <c r="K371" s="13" t="n">
        <v>73.6</v>
      </c>
      <c r="L371" s="2" t="s">
        <v>109</v>
      </c>
      <c r="M371" s="14" t="n">
        <v>3564</v>
      </c>
      <c r="N371" s="2" t="s">
        <v>135</v>
      </c>
      <c r="O371" s="14" t="n">
        <f aca="false">IFERROR(M371/I371,"")</f>
        <v>187.578947368421</v>
      </c>
    </row>
    <row r="372" customFormat="false" ht="15" hidden="false" customHeight="false" outlineLevel="0" collapsed="false">
      <c r="A372" s="2" t="s">
        <v>740</v>
      </c>
      <c r="B372" s="2" t="s">
        <v>82</v>
      </c>
      <c r="C372" s="2" t="s">
        <v>83</v>
      </c>
      <c r="D372" s="2" t="s">
        <v>69</v>
      </c>
      <c r="E372" s="2" t="s">
        <v>107</v>
      </c>
      <c r="F372" s="2" t="s">
        <v>741</v>
      </c>
      <c r="G372" s="11" t="n">
        <v>12.6</v>
      </c>
      <c r="H372" s="11" t="n">
        <v>11.6</v>
      </c>
      <c r="I372" s="12" t="n">
        <v>14</v>
      </c>
      <c r="J372" s="11" t="n">
        <v>13.3</v>
      </c>
      <c r="K372" s="13" t="n">
        <v>53.1</v>
      </c>
      <c r="L372" s="2" t="s">
        <v>104</v>
      </c>
      <c r="M372" s="14" t="n">
        <v>792</v>
      </c>
      <c r="N372" s="2" t="s">
        <v>73</v>
      </c>
      <c r="O372" s="14" t="n">
        <f aca="false">IFERROR(M372/I372,"")</f>
        <v>56.5714285714286</v>
      </c>
    </row>
    <row r="373" customFormat="false" ht="15" hidden="false" customHeight="false" outlineLevel="0" collapsed="false">
      <c r="A373" s="2" t="s">
        <v>742</v>
      </c>
      <c r="B373" s="2" t="s">
        <v>165</v>
      </c>
      <c r="C373" s="2" t="s">
        <v>68</v>
      </c>
      <c r="D373" s="2" t="s">
        <v>77</v>
      </c>
      <c r="E373" s="2" t="s">
        <v>116</v>
      </c>
      <c r="F373" s="2" t="s">
        <v>743</v>
      </c>
      <c r="G373" s="11" t="n">
        <v>61.7</v>
      </c>
      <c r="H373" s="11" t="n">
        <v>19.6</v>
      </c>
      <c r="I373" s="12" t="n">
        <v>36</v>
      </c>
      <c r="J373" s="11" t="n">
        <v>170.1</v>
      </c>
      <c r="K373" s="13" t="n">
        <v>78</v>
      </c>
      <c r="L373" s="2" t="s">
        <v>72</v>
      </c>
      <c r="M373" s="14" t="n">
        <v>4273</v>
      </c>
      <c r="N373" s="2" t="s">
        <v>73</v>
      </c>
      <c r="O373" s="14" t="n">
        <f aca="false">IFERROR(M373/I373,"")</f>
        <v>118.694444444444</v>
      </c>
    </row>
    <row r="374" customFormat="false" ht="15" hidden="false" customHeight="false" outlineLevel="0" collapsed="false">
      <c r="A374" s="2" t="s">
        <v>744</v>
      </c>
      <c r="B374" s="2" t="s">
        <v>133</v>
      </c>
      <c r="C374" s="2" t="s">
        <v>97</v>
      </c>
      <c r="D374" s="2" t="s">
        <v>84</v>
      </c>
      <c r="E374" s="2" t="s">
        <v>78</v>
      </c>
      <c r="F374" s="2" t="s">
        <v>656</v>
      </c>
      <c r="G374" s="11" t="n">
        <v>27.4</v>
      </c>
      <c r="H374" s="11" t="n">
        <v>32.3</v>
      </c>
      <c r="I374" s="12" t="n">
        <v>15</v>
      </c>
      <c r="J374" s="11" t="n">
        <v>123.5</v>
      </c>
      <c r="K374" s="13" t="n">
        <v>62.5</v>
      </c>
      <c r="L374" s="2" t="s">
        <v>72</v>
      </c>
      <c r="M374" s="14" t="n">
        <v>13929</v>
      </c>
      <c r="N374" s="2" t="s">
        <v>73</v>
      </c>
      <c r="O374" s="14" t="n">
        <f aca="false">IFERROR(M374/I374,"")</f>
        <v>928.6</v>
      </c>
    </row>
    <row r="375" customFormat="false" ht="15" hidden="false" customHeight="false" outlineLevel="0" collapsed="false">
      <c r="A375" s="2" t="s">
        <v>745</v>
      </c>
      <c r="B375" s="2" t="s">
        <v>82</v>
      </c>
      <c r="C375" s="2" t="s">
        <v>83</v>
      </c>
      <c r="D375" s="2" t="s">
        <v>77</v>
      </c>
      <c r="E375" s="2" t="s">
        <v>107</v>
      </c>
      <c r="F375" s="2" t="s">
        <v>746</v>
      </c>
      <c r="G375" s="11" t="n">
        <v>15.3</v>
      </c>
      <c r="H375" s="11" t="n">
        <v>8.1</v>
      </c>
      <c r="I375" s="12" t="n">
        <v>12</v>
      </c>
      <c r="J375" s="11" t="n">
        <v>24.4</v>
      </c>
      <c r="K375" s="13" t="n">
        <v>57.3</v>
      </c>
      <c r="L375" s="2" t="s">
        <v>104</v>
      </c>
      <c r="M375" s="14" t="n">
        <v>664</v>
      </c>
      <c r="N375" s="2" t="s">
        <v>73</v>
      </c>
      <c r="O375" s="14" t="n">
        <f aca="false">IFERROR(M375/I375,"")</f>
        <v>55.3333333333333</v>
      </c>
    </row>
    <row r="376" customFormat="false" ht="15" hidden="false" customHeight="false" outlineLevel="0" collapsed="false">
      <c r="A376" s="2" t="s">
        <v>747</v>
      </c>
      <c r="B376" s="2" t="s">
        <v>119</v>
      </c>
      <c r="C376" s="2" t="s">
        <v>102</v>
      </c>
      <c r="D376" s="2" t="s">
        <v>77</v>
      </c>
      <c r="E376" s="2" t="s">
        <v>116</v>
      </c>
      <c r="F376" s="2" t="s">
        <v>427</v>
      </c>
      <c r="G376" s="11" t="n">
        <v>47.2</v>
      </c>
      <c r="H376" s="11" t="n">
        <v>26.9</v>
      </c>
      <c r="I376" s="12" t="n">
        <v>27</v>
      </c>
      <c r="J376" s="11" t="n">
        <v>240.7</v>
      </c>
      <c r="K376" s="13" t="n">
        <v>84.4</v>
      </c>
      <c r="L376" s="2" t="s">
        <v>104</v>
      </c>
      <c r="M376" s="14" t="n">
        <v>6302</v>
      </c>
      <c r="N376" s="2" t="s">
        <v>135</v>
      </c>
      <c r="O376" s="14" t="n">
        <f aca="false">IFERROR(M376/I376,"")</f>
        <v>233.407407407407</v>
      </c>
    </row>
    <row r="377" customFormat="false" ht="15" hidden="false" customHeight="false" outlineLevel="0" collapsed="false">
      <c r="A377" s="2" t="s">
        <v>748</v>
      </c>
      <c r="B377" s="2" t="s">
        <v>67</v>
      </c>
      <c r="C377" s="2" t="s">
        <v>68</v>
      </c>
      <c r="D377" s="2" t="s">
        <v>77</v>
      </c>
      <c r="E377" s="2" t="s">
        <v>90</v>
      </c>
      <c r="F377" s="2" t="s">
        <v>749</v>
      </c>
      <c r="G377" s="11" t="n">
        <v>53.7</v>
      </c>
      <c r="H377" s="11" t="n">
        <v>18.7</v>
      </c>
      <c r="I377" s="12" t="n">
        <v>14</v>
      </c>
      <c r="J377" s="11" t="n">
        <v>136.4</v>
      </c>
      <c r="K377" s="13" t="n">
        <v>76.5</v>
      </c>
      <c r="L377" s="2" t="s">
        <v>72</v>
      </c>
      <c r="M377" s="14" t="n">
        <v>3548</v>
      </c>
      <c r="N377" s="2" t="s">
        <v>73</v>
      </c>
      <c r="O377" s="14" t="n">
        <f aca="false">IFERROR(M377/I377,"")</f>
        <v>253.428571428571</v>
      </c>
    </row>
    <row r="378" customFormat="false" ht="15" hidden="false" customHeight="false" outlineLevel="0" collapsed="false">
      <c r="A378" s="2" t="s">
        <v>750</v>
      </c>
      <c r="B378" s="2" t="s">
        <v>101</v>
      </c>
      <c r="C378" s="2" t="s">
        <v>102</v>
      </c>
      <c r="D378" s="2" t="s">
        <v>122</v>
      </c>
      <c r="E378" s="2" t="s">
        <v>78</v>
      </c>
      <c r="F378" s="2" t="s">
        <v>751</v>
      </c>
      <c r="G378" s="11" t="n">
        <v>29.4</v>
      </c>
      <c r="H378" s="11" t="n">
        <v>29.4</v>
      </c>
      <c r="I378" s="12" t="n">
        <v>11</v>
      </c>
      <c r="J378" s="11" t="n">
        <v>87.2</v>
      </c>
      <c r="K378" s="13" t="n">
        <v>93.3</v>
      </c>
      <c r="L378" s="2" t="s">
        <v>104</v>
      </c>
      <c r="M378" s="14" t="n">
        <v>5570</v>
      </c>
      <c r="N378" s="2" t="s">
        <v>73</v>
      </c>
      <c r="O378" s="14" t="n">
        <f aca="false">IFERROR(M378/I378,"")</f>
        <v>506.363636363636</v>
      </c>
    </row>
    <row r="379" customFormat="false" ht="15" hidden="false" customHeight="false" outlineLevel="0" collapsed="false">
      <c r="A379" s="2" t="s">
        <v>752</v>
      </c>
      <c r="B379" s="2" t="s">
        <v>93</v>
      </c>
      <c r="C379" s="2" t="s">
        <v>83</v>
      </c>
      <c r="D379" s="2" t="s">
        <v>84</v>
      </c>
      <c r="E379" s="2" t="s">
        <v>70</v>
      </c>
      <c r="F379" s="2" t="s">
        <v>677</v>
      </c>
      <c r="G379" s="11" t="n">
        <v>17.9</v>
      </c>
      <c r="H379" s="11" t="n">
        <v>11</v>
      </c>
      <c r="I379" s="12" t="n">
        <v>11</v>
      </c>
      <c r="J379" s="11" t="n">
        <v>54.2</v>
      </c>
      <c r="K379" s="13" t="n">
        <v>49.3</v>
      </c>
      <c r="L379" s="2" t="s">
        <v>104</v>
      </c>
      <c r="M379" s="14" t="n">
        <v>604</v>
      </c>
      <c r="N379" s="2" t="s">
        <v>138</v>
      </c>
      <c r="O379" s="14" t="n">
        <f aca="false">IFERROR(M379/I379,"")</f>
        <v>54.9090909090909</v>
      </c>
    </row>
    <row r="380" customFormat="false" ht="15" hidden="false" customHeight="false" outlineLevel="0" collapsed="false">
      <c r="A380" s="2" t="s">
        <v>753</v>
      </c>
      <c r="B380" s="2" t="s">
        <v>93</v>
      </c>
      <c r="C380" s="2" t="s">
        <v>83</v>
      </c>
      <c r="D380" s="2" t="s">
        <v>127</v>
      </c>
      <c r="E380" s="2" t="s">
        <v>116</v>
      </c>
      <c r="F380" s="2" t="s">
        <v>754</v>
      </c>
      <c r="G380" s="11" t="n">
        <v>13.8</v>
      </c>
      <c r="H380" s="11" t="n">
        <v>9.3</v>
      </c>
      <c r="I380" s="12" t="n">
        <v>13</v>
      </c>
      <c r="J380" s="11" t="n">
        <v>52.8</v>
      </c>
      <c r="K380" s="13" t="n">
        <v>70.4</v>
      </c>
      <c r="L380" s="2" t="s">
        <v>87</v>
      </c>
      <c r="M380" s="14" t="n">
        <v>495</v>
      </c>
      <c r="N380" s="2" t="s">
        <v>80</v>
      </c>
      <c r="O380" s="14" t="n">
        <f aca="false">IFERROR(M380/I380,"")</f>
        <v>38.0769230769231</v>
      </c>
    </row>
    <row r="381" customFormat="false" ht="15" hidden="false" customHeight="false" outlineLevel="0" collapsed="false">
      <c r="A381" s="2" t="s">
        <v>755</v>
      </c>
      <c r="B381" s="2" t="s">
        <v>75</v>
      </c>
      <c r="C381" s="2" t="s">
        <v>76</v>
      </c>
      <c r="D381" s="2" t="s">
        <v>122</v>
      </c>
      <c r="E381" s="2" t="s">
        <v>116</v>
      </c>
      <c r="F381" s="2" t="s">
        <v>756</v>
      </c>
      <c r="G381" s="11" t="n">
        <v>41.3</v>
      </c>
      <c r="H381" s="11" t="n">
        <v>24.1</v>
      </c>
      <c r="I381" s="12" t="n">
        <v>8</v>
      </c>
      <c r="J381" s="11" t="n">
        <v>89.5</v>
      </c>
      <c r="K381" s="13" t="n">
        <v>61.5</v>
      </c>
      <c r="L381" s="2" t="s">
        <v>72</v>
      </c>
      <c r="M381" s="14" t="n">
        <v>18940</v>
      </c>
      <c r="N381" s="2" t="s">
        <v>80</v>
      </c>
      <c r="O381" s="14" t="n">
        <f aca="false">IFERROR(M381/I381,"")</f>
        <v>2367.5</v>
      </c>
    </row>
    <row r="382" customFormat="false" ht="15" hidden="false" customHeight="false" outlineLevel="0" collapsed="false">
      <c r="A382" s="2" t="s">
        <v>757</v>
      </c>
      <c r="B382" s="2" t="s">
        <v>106</v>
      </c>
      <c r="C382" s="2" t="s">
        <v>68</v>
      </c>
      <c r="D382" s="2" t="s">
        <v>84</v>
      </c>
      <c r="E382" s="2" t="s">
        <v>107</v>
      </c>
      <c r="F382" s="2" t="s">
        <v>758</v>
      </c>
      <c r="G382" s="11" t="n">
        <v>42.9</v>
      </c>
      <c r="H382" s="11" t="n">
        <v>22.8</v>
      </c>
      <c r="I382" s="12" t="n">
        <v>24</v>
      </c>
      <c r="J382" s="11" t="n">
        <v>67.1</v>
      </c>
      <c r="K382" s="13" t="n">
        <v>75.9</v>
      </c>
      <c r="L382" s="2" t="s">
        <v>72</v>
      </c>
      <c r="M382" s="14" t="n">
        <v>3586</v>
      </c>
      <c r="N382" s="2" t="s">
        <v>73</v>
      </c>
      <c r="O382" s="14" t="n">
        <f aca="false">IFERROR(M382/I382,"")</f>
        <v>149.416666666667</v>
      </c>
    </row>
    <row r="383" customFormat="false" ht="15" hidden="false" customHeight="false" outlineLevel="0" collapsed="false">
      <c r="A383" s="2" t="s">
        <v>759</v>
      </c>
      <c r="B383" s="2" t="s">
        <v>89</v>
      </c>
      <c r="C383" s="2" t="s">
        <v>83</v>
      </c>
      <c r="D383" s="2" t="s">
        <v>130</v>
      </c>
      <c r="E383" s="2" t="s">
        <v>78</v>
      </c>
      <c r="F383" s="2" t="s">
        <v>760</v>
      </c>
      <c r="G383" s="11" t="n">
        <v>15.6</v>
      </c>
      <c r="H383" s="11" t="n">
        <v>10.9</v>
      </c>
      <c r="I383" s="12" t="n">
        <v>10</v>
      </c>
      <c r="J383" s="11" t="n">
        <v>38.1</v>
      </c>
      <c r="K383" s="13" t="n">
        <v>47.4</v>
      </c>
      <c r="L383" s="2" t="s">
        <v>72</v>
      </c>
      <c r="M383" s="14" t="n">
        <v>674</v>
      </c>
      <c r="N383" s="2" t="s">
        <v>80</v>
      </c>
      <c r="O383" s="14" t="n">
        <f aca="false">IFERROR(M383/I383,"")</f>
        <v>67.4</v>
      </c>
    </row>
    <row r="384" customFormat="false" ht="15" hidden="false" customHeight="false" outlineLevel="0" collapsed="false">
      <c r="A384" s="2" t="s">
        <v>761</v>
      </c>
      <c r="B384" s="2" t="s">
        <v>93</v>
      </c>
      <c r="C384" s="2" t="s">
        <v>83</v>
      </c>
      <c r="D384" s="2" t="s">
        <v>127</v>
      </c>
      <c r="E384" s="2" t="s">
        <v>107</v>
      </c>
      <c r="F384" s="2" t="s">
        <v>762</v>
      </c>
      <c r="G384" s="11" t="n">
        <v>16.2</v>
      </c>
      <c r="H384" s="11" t="n">
        <v>7.7</v>
      </c>
      <c r="I384" s="12" t="n">
        <v>14</v>
      </c>
      <c r="J384" s="11" t="n">
        <v>32.2</v>
      </c>
      <c r="K384" s="13" t="n">
        <v>43.7</v>
      </c>
      <c r="L384" s="2" t="s">
        <v>109</v>
      </c>
      <c r="M384" s="14" t="n">
        <v>798</v>
      </c>
      <c r="N384" s="2" t="s">
        <v>73</v>
      </c>
      <c r="O384" s="14" t="n">
        <f aca="false">IFERROR(M384/I384,"")</f>
        <v>57</v>
      </c>
    </row>
    <row r="385" customFormat="false" ht="15" hidden="false" customHeight="false" outlineLevel="0" collapsed="false">
      <c r="A385" s="2" t="s">
        <v>763</v>
      </c>
      <c r="B385" s="2" t="s">
        <v>67</v>
      </c>
      <c r="C385" s="2" t="s">
        <v>68</v>
      </c>
      <c r="D385" s="2" t="s">
        <v>84</v>
      </c>
      <c r="E385" s="2" t="s">
        <v>78</v>
      </c>
      <c r="F385" s="2" t="s">
        <v>764</v>
      </c>
      <c r="G385" s="11" t="n">
        <v>57.5</v>
      </c>
      <c r="H385" s="11" t="n">
        <v>13.9</v>
      </c>
      <c r="I385" s="12" t="n">
        <v>19</v>
      </c>
      <c r="J385" s="11" t="n">
        <v>134.2</v>
      </c>
      <c r="K385" s="13" t="n">
        <v>77.3</v>
      </c>
      <c r="L385" s="2" t="s">
        <v>72</v>
      </c>
      <c r="M385" s="14" t="n">
        <v>3638</v>
      </c>
      <c r="N385" s="2" t="s">
        <v>80</v>
      </c>
      <c r="O385" s="14" t="n">
        <f aca="false">IFERROR(M385/I385,"")</f>
        <v>191.473684210526</v>
      </c>
    </row>
    <row r="386" customFormat="false" ht="15" hidden="false" customHeight="false" outlineLevel="0" collapsed="false">
      <c r="A386" s="2" t="s">
        <v>765</v>
      </c>
      <c r="B386" s="2" t="s">
        <v>93</v>
      </c>
      <c r="C386" s="2" t="s">
        <v>83</v>
      </c>
      <c r="D386" s="2" t="s">
        <v>130</v>
      </c>
      <c r="E386" s="2" t="s">
        <v>78</v>
      </c>
      <c r="F386" s="2" t="s">
        <v>766</v>
      </c>
      <c r="G386" s="11" t="n">
        <v>16.3</v>
      </c>
      <c r="H386" s="11" t="n">
        <v>7</v>
      </c>
      <c r="I386" s="12" t="n">
        <v>37</v>
      </c>
      <c r="J386" s="11" t="n">
        <v>79.9</v>
      </c>
      <c r="K386" s="13" t="n">
        <v>58</v>
      </c>
      <c r="L386" s="2" t="s">
        <v>104</v>
      </c>
      <c r="M386" s="14" t="n">
        <v>589</v>
      </c>
      <c r="N386" s="2" t="s">
        <v>135</v>
      </c>
      <c r="O386" s="14" t="n">
        <f aca="false">IFERROR(M386/I386,"")</f>
        <v>15.9189189189189</v>
      </c>
    </row>
    <row r="387" customFormat="false" ht="15" hidden="false" customHeight="false" outlineLevel="0" collapsed="false">
      <c r="A387" s="2" t="s">
        <v>767</v>
      </c>
      <c r="B387" s="2" t="s">
        <v>82</v>
      </c>
      <c r="C387" s="2" t="s">
        <v>83</v>
      </c>
      <c r="D387" s="2" t="s">
        <v>77</v>
      </c>
      <c r="E387" s="2" t="s">
        <v>107</v>
      </c>
      <c r="F387" s="2" t="s">
        <v>768</v>
      </c>
      <c r="G387" s="11" t="n">
        <v>13.4</v>
      </c>
      <c r="H387" s="11" t="n">
        <v>6.5</v>
      </c>
      <c r="I387" s="12" t="n">
        <v>21</v>
      </c>
      <c r="J387" s="11" t="n">
        <v>88.4</v>
      </c>
      <c r="K387" s="13" t="n">
        <v>53.8</v>
      </c>
      <c r="L387" s="2" t="s">
        <v>104</v>
      </c>
      <c r="M387" s="14" t="n">
        <v>725</v>
      </c>
      <c r="N387" s="2" t="s">
        <v>73</v>
      </c>
      <c r="O387" s="14" t="n">
        <f aca="false">IFERROR(M387/I387,"")</f>
        <v>34.5238095238095</v>
      </c>
    </row>
    <row r="388" customFormat="false" ht="15" hidden="false" customHeight="false" outlineLevel="0" collapsed="false">
      <c r="A388" s="2" t="s">
        <v>769</v>
      </c>
      <c r="B388" s="2" t="s">
        <v>93</v>
      </c>
      <c r="C388" s="2" t="s">
        <v>83</v>
      </c>
      <c r="D388" s="2" t="s">
        <v>127</v>
      </c>
      <c r="E388" s="2" t="s">
        <v>98</v>
      </c>
      <c r="F388" s="2" t="s">
        <v>770</v>
      </c>
      <c r="G388" s="11" t="n">
        <v>16.8</v>
      </c>
      <c r="H388" s="11" t="n">
        <v>9.5</v>
      </c>
      <c r="I388" s="12" t="n">
        <v>65</v>
      </c>
      <c r="J388" s="11" t="n">
        <v>43.8</v>
      </c>
      <c r="K388" s="13" t="n">
        <v>50.1</v>
      </c>
      <c r="L388" s="2" t="s">
        <v>104</v>
      </c>
      <c r="M388" s="14" t="n">
        <v>452</v>
      </c>
      <c r="N388" s="2" t="s">
        <v>73</v>
      </c>
      <c r="O388" s="14" t="n">
        <f aca="false">IFERROR(M388/I388,"")</f>
        <v>6.95384615384615</v>
      </c>
    </row>
    <row r="389" customFormat="false" ht="15" hidden="false" customHeight="false" outlineLevel="0" collapsed="false">
      <c r="A389" s="2" t="s">
        <v>771</v>
      </c>
      <c r="B389" s="2" t="s">
        <v>119</v>
      </c>
      <c r="C389" s="2" t="s">
        <v>102</v>
      </c>
      <c r="D389" s="2" t="s">
        <v>69</v>
      </c>
      <c r="E389" s="2" t="s">
        <v>70</v>
      </c>
      <c r="F389" s="2" t="s">
        <v>430</v>
      </c>
      <c r="G389" s="11" t="n">
        <v>40.3</v>
      </c>
      <c r="H389" s="11" t="n">
        <v>20</v>
      </c>
      <c r="I389" s="12" t="n">
        <v>2</v>
      </c>
      <c r="J389" s="11" t="n">
        <v>9.9</v>
      </c>
      <c r="K389" s="13" t="n">
        <v>76.5</v>
      </c>
      <c r="L389" s="2" t="s">
        <v>72</v>
      </c>
      <c r="M389" s="14" t="n">
        <v>11081</v>
      </c>
      <c r="N389" s="2" t="s">
        <v>73</v>
      </c>
      <c r="O389" s="14" t="n">
        <f aca="false">IFERROR(M389/I389,"")</f>
        <v>5540.5</v>
      </c>
    </row>
    <row r="390" customFormat="false" ht="15" hidden="false" customHeight="false" outlineLevel="0" collapsed="false">
      <c r="A390" s="2" t="s">
        <v>772</v>
      </c>
      <c r="B390" s="2" t="s">
        <v>111</v>
      </c>
      <c r="C390" s="2" t="s">
        <v>76</v>
      </c>
      <c r="D390" s="2" t="s">
        <v>122</v>
      </c>
      <c r="E390" s="2" t="s">
        <v>78</v>
      </c>
      <c r="F390" s="2" t="s">
        <v>540</v>
      </c>
      <c r="G390" s="11" t="n">
        <v>52.8</v>
      </c>
      <c r="H390" s="11" t="n">
        <v>24.4</v>
      </c>
      <c r="I390" s="12" t="n">
        <v>10</v>
      </c>
      <c r="J390" s="11" t="n">
        <v>87.6</v>
      </c>
      <c r="K390" s="13" t="n">
        <v>57.7</v>
      </c>
      <c r="L390" s="2" t="s">
        <v>72</v>
      </c>
      <c r="M390" s="14" t="n">
        <v>13412</v>
      </c>
      <c r="N390" s="2" t="s">
        <v>138</v>
      </c>
      <c r="O390" s="14" t="n">
        <f aca="false">IFERROR(M390/I390,"")</f>
        <v>1341.2</v>
      </c>
    </row>
    <row r="391" customFormat="false" ht="15" hidden="false" customHeight="false" outlineLevel="0" collapsed="false">
      <c r="A391" s="2" t="s">
        <v>773</v>
      </c>
      <c r="B391" s="2" t="s">
        <v>165</v>
      </c>
      <c r="C391" s="2" t="s">
        <v>68</v>
      </c>
      <c r="D391" s="2" t="s">
        <v>77</v>
      </c>
      <c r="E391" s="2" t="s">
        <v>85</v>
      </c>
      <c r="F391" s="2" t="s">
        <v>554</v>
      </c>
      <c r="G391" s="11" t="n">
        <v>42.7</v>
      </c>
      <c r="H391" s="11" t="n">
        <v>15.6</v>
      </c>
      <c r="I391" s="12" t="n">
        <v>13</v>
      </c>
      <c r="J391" s="11" t="n">
        <v>167.7</v>
      </c>
      <c r="K391" s="13" t="n">
        <v>80.5</v>
      </c>
      <c r="L391" s="2" t="s">
        <v>87</v>
      </c>
      <c r="M391" s="14" t="n">
        <v>3914</v>
      </c>
      <c r="N391" s="2" t="s">
        <v>73</v>
      </c>
      <c r="O391" s="14" t="n">
        <f aca="false">IFERROR(M391/I391,"")</f>
        <v>301.076923076923</v>
      </c>
    </row>
    <row r="392" customFormat="false" ht="15" hidden="false" customHeight="false" outlineLevel="0" collapsed="false">
      <c r="A392" s="2" t="s">
        <v>774</v>
      </c>
      <c r="B392" s="2" t="s">
        <v>125</v>
      </c>
      <c r="C392" s="2" t="s">
        <v>126</v>
      </c>
      <c r="D392" s="2" t="s">
        <v>77</v>
      </c>
      <c r="E392" s="2" t="s">
        <v>107</v>
      </c>
      <c r="F392" s="2" t="s">
        <v>629</v>
      </c>
      <c r="G392" s="11" t="n">
        <v>351.2</v>
      </c>
      <c r="H392" s="11" t="n">
        <v>690.7</v>
      </c>
      <c r="I392" s="12" t="n">
        <v>16</v>
      </c>
      <c r="J392" s="11" t="n">
        <v>348.8</v>
      </c>
      <c r="K392" s="13" t="n">
        <v>70.1</v>
      </c>
      <c r="L392" s="2" t="s">
        <v>72</v>
      </c>
      <c r="M392" s="14" t="n">
        <v>197434</v>
      </c>
      <c r="N392" s="2" t="s">
        <v>138</v>
      </c>
      <c r="O392" s="14" t="n">
        <f aca="false">IFERROR(M392/I392,"")</f>
        <v>12339.625</v>
      </c>
    </row>
    <row r="393" customFormat="false" ht="15" hidden="false" customHeight="false" outlineLevel="0" collapsed="false">
      <c r="A393" s="2" t="s">
        <v>775</v>
      </c>
      <c r="B393" s="2" t="s">
        <v>82</v>
      </c>
      <c r="C393" s="2" t="s">
        <v>83</v>
      </c>
      <c r="D393" s="2" t="s">
        <v>84</v>
      </c>
      <c r="E393" s="2" t="s">
        <v>78</v>
      </c>
      <c r="F393" s="2" t="s">
        <v>776</v>
      </c>
      <c r="G393" s="11" t="n">
        <v>15.9</v>
      </c>
      <c r="H393" s="11" t="n">
        <v>9.9</v>
      </c>
      <c r="I393" s="12" t="n">
        <v>22</v>
      </c>
      <c r="J393" s="11" t="n">
        <v>41.7</v>
      </c>
      <c r="K393" s="13" t="n">
        <v>52.1</v>
      </c>
      <c r="L393" s="2" t="s">
        <v>72</v>
      </c>
      <c r="M393" s="14" t="n">
        <v>580</v>
      </c>
      <c r="N393" s="2" t="s">
        <v>80</v>
      </c>
      <c r="O393" s="14" t="n">
        <f aca="false">IFERROR(M393/I393,"")</f>
        <v>26.3636363636364</v>
      </c>
    </row>
    <row r="394" customFormat="false" ht="15" hidden="false" customHeight="false" outlineLevel="0" collapsed="false">
      <c r="A394" s="2" t="s">
        <v>777</v>
      </c>
      <c r="B394" s="2" t="s">
        <v>111</v>
      </c>
      <c r="C394" s="2" t="s">
        <v>76</v>
      </c>
      <c r="D394" s="2" t="s">
        <v>84</v>
      </c>
      <c r="E394" s="2" t="s">
        <v>90</v>
      </c>
      <c r="F394" s="2" t="s">
        <v>682</v>
      </c>
      <c r="G394" s="11" t="n">
        <v>44.7</v>
      </c>
      <c r="H394" s="11" t="n">
        <v>22.5</v>
      </c>
      <c r="I394" s="12" t="n">
        <v>9</v>
      </c>
      <c r="J394" s="11" t="n">
        <v>41.6</v>
      </c>
      <c r="K394" s="13" t="n">
        <v>53.6</v>
      </c>
      <c r="L394" s="2" t="s">
        <v>72</v>
      </c>
      <c r="M394" s="14" t="n">
        <v>20174</v>
      </c>
      <c r="N394" s="2" t="s">
        <v>73</v>
      </c>
      <c r="O394" s="14" t="n">
        <f aca="false">IFERROR(M394/I394,"")</f>
        <v>2241.55555555556</v>
      </c>
    </row>
    <row r="395" customFormat="false" ht="15" hidden="false" customHeight="false" outlineLevel="0" collapsed="false">
      <c r="A395" s="2" t="s">
        <v>778</v>
      </c>
      <c r="B395" s="2" t="s">
        <v>82</v>
      </c>
      <c r="C395" s="2" t="s">
        <v>83</v>
      </c>
      <c r="D395" s="2" t="s">
        <v>77</v>
      </c>
      <c r="E395" s="2" t="s">
        <v>78</v>
      </c>
      <c r="F395" s="2" t="s">
        <v>779</v>
      </c>
      <c r="G395" s="11" t="n">
        <v>12.4</v>
      </c>
      <c r="H395" s="11" t="n">
        <v>9.6</v>
      </c>
      <c r="I395" s="12" t="n">
        <v>12</v>
      </c>
      <c r="J395" s="11" t="n">
        <v>30.7</v>
      </c>
      <c r="K395" s="13" t="n">
        <v>49.8</v>
      </c>
      <c r="L395" s="2" t="s">
        <v>104</v>
      </c>
      <c r="M395" s="14" t="n">
        <v>473</v>
      </c>
      <c r="N395" s="2" t="s">
        <v>80</v>
      </c>
      <c r="O395" s="14" t="n">
        <f aca="false">IFERROR(M395/I395,"")</f>
        <v>39.4166666666667</v>
      </c>
    </row>
    <row r="396" customFormat="false" ht="15" hidden="false" customHeight="false" outlineLevel="0" collapsed="false">
      <c r="A396" s="2" t="s">
        <v>780</v>
      </c>
      <c r="B396" s="2" t="s">
        <v>75</v>
      </c>
      <c r="C396" s="2" t="s">
        <v>76</v>
      </c>
      <c r="D396" s="2" t="s">
        <v>69</v>
      </c>
      <c r="E396" s="2" t="s">
        <v>78</v>
      </c>
      <c r="F396" s="2" t="s">
        <v>682</v>
      </c>
      <c r="G396" s="11" t="n">
        <v>43.1</v>
      </c>
      <c r="H396" s="11" t="n">
        <v>17.4</v>
      </c>
      <c r="I396" s="12" t="n">
        <v>15</v>
      </c>
      <c r="J396" s="11" t="n">
        <v>83.6</v>
      </c>
      <c r="K396" s="13" t="n">
        <v>79</v>
      </c>
      <c r="L396" s="2" t="s">
        <v>87</v>
      </c>
      <c r="M396" s="14" t="n">
        <v>22383</v>
      </c>
      <c r="N396" s="2" t="s">
        <v>135</v>
      </c>
      <c r="O396" s="14" t="n">
        <f aca="false">IFERROR(M396/I396,"")</f>
        <v>1492.2</v>
      </c>
    </row>
    <row r="397" customFormat="false" ht="15" hidden="false" customHeight="false" outlineLevel="0" collapsed="false">
      <c r="A397" s="2" t="s">
        <v>781</v>
      </c>
      <c r="B397" s="2" t="s">
        <v>75</v>
      </c>
      <c r="C397" s="2" t="s">
        <v>76</v>
      </c>
      <c r="D397" s="2" t="s">
        <v>69</v>
      </c>
      <c r="E397" s="2" t="s">
        <v>98</v>
      </c>
      <c r="F397" s="2" t="s">
        <v>782</v>
      </c>
      <c r="G397" s="11" t="n">
        <v>48</v>
      </c>
      <c r="H397" s="11" t="n">
        <v>13.2</v>
      </c>
      <c r="I397" s="12" t="n">
        <v>21</v>
      </c>
      <c r="J397" s="11" t="n">
        <v>312.4</v>
      </c>
      <c r="K397" s="13" t="n">
        <v>76.6</v>
      </c>
      <c r="L397" s="2" t="s">
        <v>87</v>
      </c>
      <c r="M397" s="14" t="n">
        <v>24102</v>
      </c>
      <c r="N397" s="2" t="s">
        <v>73</v>
      </c>
      <c r="O397" s="14" t="n">
        <f aca="false">IFERROR(M397/I397,"")</f>
        <v>1147.71428571429</v>
      </c>
    </row>
    <row r="398" customFormat="false" ht="15" hidden="false" customHeight="false" outlineLevel="0" collapsed="false">
      <c r="A398" s="2" t="s">
        <v>783</v>
      </c>
      <c r="B398" s="2" t="s">
        <v>82</v>
      </c>
      <c r="C398" s="2" t="s">
        <v>83</v>
      </c>
      <c r="D398" s="2" t="s">
        <v>122</v>
      </c>
      <c r="E398" s="2" t="s">
        <v>107</v>
      </c>
      <c r="F398" s="2" t="s">
        <v>784</v>
      </c>
      <c r="G398" s="11" t="n">
        <v>16.4</v>
      </c>
      <c r="H398" s="11" t="n">
        <v>8.2</v>
      </c>
      <c r="I398" s="12" t="n">
        <v>51</v>
      </c>
      <c r="J398" s="11" t="n">
        <v>211.8</v>
      </c>
      <c r="K398" s="13" t="n">
        <v>49.2</v>
      </c>
      <c r="L398" s="2" t="s">
        <v>109</v>
      </c>
      <c r="M398" s="14" t="n">
        <v>585</v>
      </c>
      <c r="N398" s="2" t="s">
        <v>80</v>
      </c>
      <c r="O398" s="14" t="n">
        <f aca="false">IFERROR(M398/I398,"")</f>
        <v>11.4705882352941</v>
      </c>
    </row>
    <row r="399" customFormat="false" ht="15" hidden="false" customHeight="false" outlineLevel="0" collapsed="false">
      <c r="A399" s="2" t="s">
        <v>785</v>
      </c>
      <c r="B399" s="2" t="s">
        <v>96</v>
      </c>
      <c r="C399" s="2" t="s">
        <v>97</v>
      </c>
      <c r="D399" s="2" t="s">
        <v>77</v>
      </c>
      <c r="E399" s="2" t="s">
        <v>90</v>
      </c>
      <c r="F399" s="2" t="s">
        <v>86</v>
      </c>
      <c r="G399" s="11" t="n">
        <v>29.4</v>
      </c>
      <c r="H399" s="11" t="n">
        <v>37.3</v>
      </c>
      <c r="I399" s="12" t="n">
        <v>18</v>
      </c>
      <c r="J399" s="11" t="n">
        <v>38.3</v>
      </c>
      <c r="K399" s="13" t="n">
        <v>50.2</v>
      </c>
      <c r="L399" s="2" t="s">
        <v>72</v>
      </c>
      <c r="M399" s="14" t="n">
        <v>15047</v>
      </c>
      <c r="N399" s="2" t="s">
        <v>73</v>
      </c>
      <c r="O399" s="14" t="n">
        <f aca="false">IFERROR(M399/I399,"")</f>
        <v>835.944444444445</v>
      </c>
    </row>
    <row r="400" customFormat="false" ht="15" hidden="false" customHeight="false" outlineLevel="0" collapsed="false">
      <c r="A400" s="2" t="s">
        <v>786</v>
      </c>
      <c r="B400" s="2" t="s">
        <v>75</v>
      </c>
      <c r="C400" s="2" t="s">
        <v>76</v>
      </c>
      <c r="D400" s="2" t="s">
        <v>77</v>
      </c>
      <c r="E400" s="2" t="s">
        <v>70</v>
      </c>
      <c r="F400" s="2" t="s">
        <v>585</v>
      </c>
      <c r="G400" s="11" t="n">
        <v>43.1</v>
      </c>
      <c r="H400" s="11" t="n">
        <v>17.3</v>
      </c>
      <c r="I400" s="12" t="n">
        <v>9</v>
      </c>
      <c r="J400" s="11" t="n">
        <v>73.8</v>
      </c>
      <c r="K400" s="13" t="n">
        <v>56.9</v>
      </c>
      <c r="L400" s="2" t="s">
        <v>104</v>
      </c>
      <c r="M400" s="14" t="n">
        <v>24672</v>
      </c>
      <c r="N400" s="2" t="s">
        <v>135</v>
      </c>
      <c r="O400" s="14" t="n">
        <f aca="false">IFERROR(M400/I400,"")</f>
        <v>2741.33333333333</v>
      </c>
    </row>
    <row r="401" customFormat="false" ht="15" hidden="false" customHeight="false" outlineLevel="0" collapsed="false">
      <c r="A401" s="2" t="s">
        <v>787</v>
      </c>
      <c r="B401" s="2" t="s">
        <v>75</v>
      </c>
      <c r="C401" s="2" t="s">
        <v>76</v>
      </c>
      <c r="D401" s="2" t="s">
        <v>69</v>
      </c>
      <c r="E401" s="2" t="s">
        <v>116</v>
      </c>
      <c r="F401" s="2" t="s">
        <v>603</v>
      </c>
      <c r="G401" s="11" t="n">
        <v>45.3</v>
      </c>
      <c r="H401" s="11" t="n">
        <v>24.2</v>
      </c>
      <c r="I401" s="12" t="n">
        <v>9</v>
      </c>
      <c r="J401" s="11" t="n">
        <v>92</v>
      </c>
      <c r="K401" s="13" t="n">
        <v>65</v>
      </c>
      <c r="L401" s="2" t="s">
        <v>87</v>
      </c>
      <c r="M401" s="14" t="n">
        <v>18890</v>
      </c>
      <c r="N401" s="2" t="s">
        <v>73</v>
      </c>
      <c r="O401" s="14" t="n">
        <f aca="false">IFERROR(M401/I401,"")</f>
        <v>2098.88888888889</v>
      </c>
    </row>
    <row r="402" customFormat="false" ht="15" hidden="false" customHeight="false" outlineLevel="0" collapsed="false">
      <c r="A402" s="2" t="s">
        <v>788</v>
      </c>
      <c r="B402" s="2" t="s">
        <v>106</v>
      </c>
      <c r="C402" s="2" t="s">
        <v>68</v>
      </c>
      <c r="D402" s="2" t="s">
        <v>77</v>
      </c>
      <c r="E402" s="2" t="s">
        <v>78</v>
      </c>
      <c r="F402" s="2" t="s">
        <v>172</v>
      </c>
      <c r="G402" s="11" t="n">
        <v>55.4</v>
      </c>
      <c r="H402" s="11" t="n">
        <v>19.6</v>
      </c>
      <c r="I402" s="12" t="n">
        <v>16</v>
      </c>
      <c r="J402" s="11" t="n">
        <v>74.2</v>
      </c>
      <c r="K402" s="13" t="n">
        <v>84.4</v>
      </c>
      <c r="L402" s="2" t="s">
        <v>104</v>
      </c>
      <c r="M402" s="14" t="n">
        <v>4031</v>
      </c>
      <c r="N402" s="2" t="s">
        <v>138</v>
      </c>
      <c r="O402" s="14" t="n">
        <f aca="false">IFERROR(M402/I402,"")</f>
        <v>251.9375</v>
      </c>
    </row>
    <row r="403" customFormat="false" ht="15" hidden="false" customHeight="false" outlineLevel="0" collapsed="false">
      <c r="A403" s="2" t="s">
        <v>789</v>
      </c>
      <c r="B403" s="2" t="s">
        <v>93</v>
      </c>
      <c r="C403" s="2" t="s">
        <v>83</v>
      </c>
      <c r="D403" s="2" t="s">
        <v>69</v>
      </c>
      <c r="E403" s="2" t="s">
        <v>116</v>
      </c>
      <c r="F403" s="2" t="s">
        <v>696</v>
      </c>
      <c r="G403" s="11" t="n">
        <v>17.9</v>
      </c>
      <c r="H403" s="11" t="n">
        <v>9.1</v>
      </c>
      <c r="I403" s="12" t="n">
        <v>15</v>
      </c>
      <c r="J403" s="11" t="n">
        <v>10.7</v>
      </c>
      <c r="K403" s="13" t="n">
        <v>49</v>
      </c>
      <c r="L403" s="2" t="s">
        <v>104</v>
      </c>
      <c r="M403" s="14" t="n">
        <v>702</v>
      </c>
      <c r="N403" s="2" t="s">
        <v>73</v>
      </c>
      <c r="O403" s="14" t="n">
        <f aca="false">IFERROR(M403/I403,"")</f>
        <v>46.8</v>
      </c>
    </row>
    <row r="404" customFormat="false" ht="15" hidden="false" customHeight="false" outlineLevel="0" collapsed="false">
      <c r="A404" s="2" t="s">
        <v>790</v>
      </c>
      <c r="B404" s="2" t="s">
        <v>82</v>
      </c>
      <c r="C404" s="2" t="s">
        <v>83</v>
      </c>
      <c r="D404" s="2" t="s">
        <v>69</v>
      </c>
      <c r="E404" s="2" t="s">
        <v>90</v>
      </c>
      <c r="F404" s="2" t="s">
        <v>652</v>
      </c>
      <c r="G404" s="11" t="n">
        <v>13.4</v>
      </c>
      <c r="H404" s="11" t="n">
        <v>9.3</v>
      </c>
      <c r="I404" s="12" t="n">
        <v>5</v>
      </c>
      <c r="J404" s="11" t="n">
        <v>8.4</v>
      </c>
      <c r="K404" s="13" t="n">
        <v>63.2</v>
      </c>
      <c r="L404" s="2" t="s">
        <v>104</v>
      </c>
      <c r="M404" s="14" t="n">
        <v>657</v>
      </c>
      <c r="N404" s="2" t="s">
        <v>138</v>
      </c>
      <c r="O404" s="14" t="n">
        <f aca="false">IFERROR(M404/I404,"")</f>
        <v>131.4</v>
      </c>
    </row>
    <row r="405" customFormat="false" ht="15" hidden="false" customHeight="false" outlineLevel="0" collapsed="false">
      <c r="A405" s="2" t="s">
        <v>791</v>
      </c>
      <c r="B405" s="2" t="s">
        <v>106</v>
      </c>
      <c r="C405" s="2" t="s">
        <v>68</v>
      </c>
      <c r="D405" s="2" t="s">
        <v>130</v>
      </c>
      <c r="E405" s="2" t="s">
        <v>116</v>
      </c>
      <c r="F405" s="2" t="s">
        <v>792</v>
      </c>
      <c r="G405" s="11" t="n">
        <v>55.9</v>
      </c>
      <c r="H405" s="11" t="n">
        <v>17.6</v>
      </c>
      <c r="I405" s="12" t="n">
        <v>9</v>
      </c>
      <c r="J405" s="11" t="n">
        <v>148.7</v>
      </c>
      <c r="K405" s="13" t="n">
        <v>87.8</v>
      </c>
      <c r="L405" s="2" t="s">
        <v>87</v>
      </c>
      <c r="M405" s="14" t="n">
        <v>3978</v>
      </c>
      <c r="N405" s="2" t="s">
        <v>73</v>
      </c>
      <c r="O405" s="14" t="n">
        <f aca="false">IFERROR(M405/I405,"")</f>
        <v>442</v>
      </c>
    </row>
    <row r="406" customFormat="false" ht="15" hidden="false" customHeight="false" outlineLevel="0" collapsed="false">
      <c r="A406" s="2" t="s">
        <v>793</v>
      </c>
      <c r="B406" s="2" t="s">
        <v>165</v>
      </c>
      <c r="C406" s="2" t="s">
        <v>68</v>
      </c>
      <c r="D406" s="2" t="s">
        <v>69</v>
      </c>
      <c r="E406" s="2" t="s">
        <v>78</v>
      </c>
      <c r="F406" s="2" t="s">
        <v>728</v>
      </c>
      <c r="G406" s="11" t="n">
        <v>54.3</v>
      </c>
      <c r="H406" s="11" t="n">
        <v>18.3</v>
      </c>
      <c r="I406" s="12" t="n">
        <v>5</v>
      </c>
      <c r="J406" s="11" t="n">
        <v>23.4</v>
      </c>
      <c r="K406" s="13" t="n">
        <v>84.9</v>
      </c>
      <c r="L406" s="2" t="s">
        <v>104</v>
      </c>
      <c r="M406" s="14" t="n">
        <v>3689</v>
      </c>
      <c r="N406" s="2" t="s">
        <v>135</v>
      </c>
      <c r="O406" s="14" t="n">
        <f aca="false">IFERROR(M406/I406,"")</f>
        <v>737.8</v>
      </c>
    </row>
    <row r="407" customFormat="false" ht="15" hidden="false" customHeight="false" outlineLevel="0" collapsed="false">
      <c r="A407" s="2" t="s">
        <v>794</v>
      </c>
      <c r="B407" s="2" t="s">
        <v>75</v>
      </c>
      <c r="C407" s="2" t="s">
        <v>76</v>
      </c>
      <c r="D407" s="2" t="s">
        <v>77</v>
      </c>
      <c r="E407" s="2" t="s">
        <v>107</v>
      </c>
      <c r="F407" s="2" t="s">
        <v>795</v>
      </c>
      <c r="G407" s="11" t="n">
        <v>51.7</v>
      </c>
      <c r="H407" s="11" t="n">
        <v>17.4</v>
      </c>
      <c r="I407" s="12" t="n">
        <v>7</v>
      </c>
      <c r="J407" s="11" t="n">
        <v>38.7</v>
      </c>
      <c r="K407" s="13" t="n">
        <v>66</v>
      </c>
      <c r="L407" s="2" t="s">
        <v>72</v>
      </c>
      <c r="M407" s="14" t="n">
        <v>19069</v>
      </c>
      <c r="N407" s="2" t="s">
        <v>73</v>
      </c>
      <c r="O407" s="14" t="n">
        <f aca="false">IFERROR(M407/I407,"")</f>
        <v>2724.14285714286</v>
      </c>
    </row>
    <row r="408" customFormat="false" ht="15" hidden="false" customHeight="false" outlineLevel="0" collapsed="false">
      <c r="A408" s="2" t="s">
        <v>796</v>
      </c>
      <c r="B408" s="2" t="s">
        <v>82</v>
      </c>
      <c r="C408" s="2" t="s">
        <v>83</v>
      </c>
      <c r="D408" s="2" t="s">
        <v>77</v>
      </c>
      <c r="E408" s="2" t="s">
        <v>78</v>
      </c>
      <c r="F408" s="2" t="s">
        <v>378</v>
      </c>
      <c r="G408" s="11" t="n">
        <v>13.1</v>
      </c>
      <c r="H408" s="11" t="n">
        <v>10.4</v>
      </c>
      <c r="I408" s="12" t="n">
        <v>16</v>
      </c>
      <c r="J408" s="11" t="n">
        <v>24.3</v>
      </c>
      <c r="K408" s="13" t="n">
        <v>55.3</v>
      </c>
      <c r="L408" s="2" t="s">
        <v>72</v>
      </c>
      <c r="M408" s="14" t="n">
        <v>573</v>
      </c>
      <c r="N408" s="2" t="s">
        <v>138</v>
      </c>
      <c r="O408" s="14" t="n">
        <f aca="false">IFERROR(M408/I408,"")</f>
        <v>35.8125</v>
      </c>
    </row>
    <row r="409" customFormat="false" ht="15" hidden="false" customHeight="false" outlineLevel="0" collapsed="false">
      <c r="A409" s="2" t="s">
        <v>797</v>
      </c>
      <c r="B409" s="2" t="s">
        <v>125</v>
      </c>
      <c r="C409" s="2" t="s">
        <v>126</v>
      </c>
      <c r="D409" s="2" t="s">
        <v>127</v>
      </c>
      <c r="E409" s="2" t="s">
        <v>116</v>
      </c>
      <c r="F409" s="2" t="s">
        <v>798</v>
      </c>
      <c r="G409" s="11" t="n">
        <v>477.7</v>
      </c>
      <c r="H409" s="11" t="n">
        <v>628.3</v>
      </c>
      <c r="I409" s="12" t="n">
        <v>6</v>
      </c>
      <c r="J409" s="11" t="n">
        <v>104.7</v>
      </c>
      <c r="K409" s="13" t="n">
        <v>79.4</v>
      </c>
      <c r="L409" s="2" t="s">
        <v>87</v>
      </c>
      <c r="M409" s="14" t="n">
        <v>186870</v>
      </c>
      <c r="N409" s="2" t="s">
        <v>73</v>
      </c>
      <c r="O409" s="14" t="n">
        <f aca="false">IFERROR(M409/I409,"")</f>
        <v>31145</v>
      </c>
    </row>
    <row r="410" customFormat="false" ht="15" hidden="false" customHeight="false" outlineLevel="0" collapsed="false">
      <c r="A410" s="2" t="s">
        <v>799</v>
      </c>
      <c r="B410" s="2" t="s">
        <v>165</v>
      </c>
      <c r="C410" s="2" t="s">
        <v>68</v>
      </c>
      <c r="D410" s="2" t="s">
        <v>77</v>
      </c>
      <c r="E410" s="2" t="s">
        <v>107</v>
      </c>
      <c r="F410" s="2" t="s">
        <v>532</v>
      </c>
      <c r="G410" s="11" t="n">
        <v>55.3</v>
      </c>
      <c r="H410" s="11" t="n">
        <v>19.4</v>
      </c>
      <c r="I410" s="12" t="n">
        <v>14</v>
      </c>
      <c r="J410" s="11" t="n">
        <v>119.1</v>
      </c>
      <c r="K410" s="13" t="n">
        <v>71.8</v>
      </c>
      <c r="L410" s="2" t="s">
        <v>109</v>
      </c>
      <c r="M410" s="14" t="n">
        <v>4190</v>
      </c>
      <c r="N410" s="2" t="s">
        <v>73</v>
      </c>
      <c r="O410" s="14" t="n">
        <f aca="false">IFERROR(M410/I410,"")</f>
        <v>299.285714285714</v>
      </c>
    </row>
    <row r="411" customFormat="false" ht="15" hidden="false" customHeight="false" outlineLevel="0" collapsed="false">
      <c r="A411" s="2" t="s">
        <v>800</v>
      </c>
      <c r="B411" s="2" t="s">
        <v>125</v>
      </c>
      <c r="C411" s="2" t="s">
        <v>126</v>
      </c>
      <c r="D411" s="2" t="s">
        <v>77</v>
      </c>
      <c r="E411" s="2" t="s">
        <v>78</v>
      </c>
      <c r="F411" s="2" t="s">
        <v>103</v>
      </c>
      <c r="G411" s="11" t="n">
        <v>398.9</v>
      </c>
      <c r="H411" s="11" t="n">
        <v>523.1</v>
      </c>
      <c r="I411" s="12" t="n">
        <v>21</v>
      </c>
      <c r="J411" s="11" t="n">
        <v>1646.2</v>
      </c>
      <c r="K411" s="13" t="n">
        <v>51.3</v>
      </c>
      <c r="L411" s="2" t="s">
        <v>109</v>
      </c>
      <c r="M411" s="14" t="n">
        <v>185405</v>
      </c>
      <c r="N411" s="2" t="s">
        <v>73</v>
      </c>
      <c r="O411" s="14" t="n">
        <f aca="false">IFERROR(M411/I411,"")</f>
        <v>8828.80952380952</v>
      </c>
    </row>
    <row r="412" customFormat="false" ht="15" hidden="false" customHeight="false" outlineLevel="0" collapsed="false">
      <c r="A412" s="2" t="s">
        <v>801</v>
      </c>
      <c r="B412" s="2" t="s">
        <v>106</v>
      </c>
      <c r="C412" s="2" t="s">
        <v>68</v>
      </c>
      <c r="D412" s="2" t="s">
        <v>77</v>
      </c>
      <c r="E412" s="2" t="s">
        <v>70</v>
      </c>
      <c r="F412" s="2" t="s">
        <v>802</v>
      </c>
      <c r="G412" s="11" t="n">
        <v>39.6</v>
      </c>
      <c r="H412" s="11" t="n">
        <v>13.6</v>
      </c>
      <c r="I412" s="12" t="n">
        <v>17</v>
      </c>
      <c r="J412" s="11" t="n">
        <v>140.5</v>
      </c>
      <c r="K412" s="13" t="n">
        <v>71</v>
      </c>
      <c r="L412" s="2" t="s">
        <v>72</v>
      </c>
      <c r="M412" s="14" t="n">
        <v>3244</v>
      </c>
      <c r="N412" s="2" t="s">
        <v>73</v>
      </c>
      <c r="O412" s="14" t="n">
        <f aca="false">IFERROR(M412/I412,"")</f>
        <v>190.823529411765</v>
      </c>
    </row>
    <row r="413" customFormat="false" ht="15" hidden="false" customHeight="false" outlineLevel="0" collapsed="false">
      <c r="A413" s="2" t="s">
        <v>803</v>
      </c>
      <c r="B413" s="2" t="s">
        <v>119</v>
      </c>
      <c r="C413" s="2" t="s">
        <v>102</v>
      </c>
      <c r="D413" s="2" t="s">
        <v>77</v>
      </c>
      <c r="E413" s="2" t="s">
        <v>85</v>
      </c>
      <c r="F413" s="2" t="s">
        <v>649</v>
      </c>
      <c r="G413" s="11" t="n">
        <v>36.2</v>
      </c>
      <c r="H413" s="11" t="n">
        <v>29.7</v>
      </c>
      <c r="I413" s="12" t="n">
        <v>6</v>
      </c>
      <c r="J413" s="11" t="n">
        <v>32</v>
      </c>
      <c r="K413" s="13" t="n">
        <v>82.1</v>
      </c>
      <c r="L413" s="2" t="s">
        <v>72</v>
      </c>
      <c r="M413" s="14" t="n">
        <v>8544</v>
      </c>
      <c r="N413" s="2" t="s">
        <v>80</v>
      </c>
      <c r="O413" s="14" t="n">
        <f aca="false">IFERROR(M413/I413,"")</f>
        <v>1424</v>
      </c>
    </row>
    <row r="414" customFormat="false" ht="15" hidden="false" customHeight="false" outlineLevel="0" collapsed="false">
      <c r="A414" s="2" t="s">
        <v>804</v>
      </c>
      <c r="B414" s="2" t="s">
        <v>101</v>
      </c>
      <c r="C414" s="2" t="s">
        <v>102</v>
      </c>
      <c r="D414" s="2" t="s">
        <v>77</v>
      </c>
      <c r="E414" s="2" t="s">
        <v>70</v>
      </c>
      <c r="F414" s="2" t="s">
        <v>805</v>
      </c>
      <c r="G414" s="11" t="n">
        <v>44.9</v>
      </c>
      <c r="H414" s="11" t="n">
        <v>18.9</v>
      </c>
      <c r="I414" s="12" t="n">
        <v>6</v>
      </c>
      <c r="J414" s="11" t="n">
        <v>94.4</v>
      </c>
      <c r="K414" s="13" t="n">
        <v>91.5</v>
      </c>
      <c r="L414" s="2" t="s">
        <v>87</v>
      </c>
      <c r="M414" s="14" t="n">
        <v>6679</v>
      </c>
      <c r="N414" s="2" t="s">
        <v>73</v>
      </c>
      <c r="O414" s="14" t="n">
        <f aca="false">IFERROR(M414/I414,"")</f>
        <v>1113.16666666667</v>
      </c>
    </row>
    <row r="415" customFormat="false" ht="15" hidden="false" customHeight="false" outlineLevel="0" collapsed="false">
      <c r="A415" s="2" t="s">
        <v>806</v>
      </c>
      <c r="B415" s="2" t="s">
        <v>111</v>
      </c>
      <c r="C415" s="2" t="s">
        <v>76</v>
      </c>
      <c r="D415" s="2" t="s">
        <v>77</v>
      </c>
      <c r="E415" s="2" t="s">
        <v>78</v>
      </c>
      <c r="F415" s="2" t="s">
        <v>532</v>
      </c>
      <c r="G415" s="11" t="n">
        <v>38.4</v>
      </c>
      <c r="H415" s="11" t="n">
        <v>20.6</v>
      </c>
      <c r="I415" s="12" t="n">
        <v>35</v>
      </c>
      <c r="J415" s="11" t="n">
        <v>204.5</v>
      </c>
      <c r="K415" s="13" t="n">
        <v>60.8</v>
      </c>
      <c r="L415" s="2" t="s">
        <v>72</v>
      </c>
      <c r="M415" s="14" t="n">
        <v>26481</v>
      </c>
      <c r="N415" s="2" t="s">
        <v>73</v>
      </c>
      <c r="O415" s="14" t="n">
        <f aca="false">IFERROR(M415/I415,"")</f>
        <v>756.6</v>
      </c>
    </row>
    <row r="416" customFormat="false" ht="15" hidden="false" customHeight="false" outlineLevel="0" collapsed="false">
      <c r="A416" s="2" t="s">
        <v>807</v>
      </c>
      <c r="B416" s="2" t="s">
        <v>82</v>
      </c>
      <c r="C416" s="2" t="s">
        <v>83</v>
      </c>
      <c r="D416" s="2" t="s">
        <v>77</v>
      </c>
      <c r="E416" s="2" t="s">
        <v>107</v>
      </c>
      <c r="F416" s="2" t="s">
        <v>746</v>
      </c>
      <c r="G416" s="11" t="n">
        <v>8.4</v>
      </c>
      <c r="H416" s="11" t="n">
        <v>8.8</v>
      </c>
      <c r="I416" s="12" t="n">
        <v>19</v>
      </c>
      <c r="J416" s="11" t="n">
        <v>19.9</v>
      </c>
      <c r="K416" s="13" t="n">
        <v>38.9</v>
      </c>
      <c r="L416" s="2" t="s">
        <v>109</v>
      </c>
      <c r="M416" s="14" t="n">
        <v>814</v>
      </c>
      <c r="N416" s="2" t="s">
        <v>73</v>
      </c>
      <c r="O416" s="14" t="n">
        <f aca="false">IFERROR(M416/I416,"")</f>
        <v>42.8421052631579</v>
      </c>
    </row>
    <row r="417" customFormat="false" ht="15" hidden="false" customHeight="false" outlineLevel="0" collapsed="false">
      <c r="A417" s="2" t="s">
        <v>808</v>
      </c>
      <c r="B417" s="2" t="s">
        <v>67</v>
      </c>
      <c r="C417" s="2" t="s">
        <v>68</v>
      </c>
      <c r="D417" s="2" t="s">
        <v>84</v>
      </c>
      <c r="E417" s="2" t="s">
        <v>90</v>
      </c>
      <c r="F417" s="2" t="s">
        <v>809</v>
      </c>
      <c r="G417" s="11" t="n">
        <v>57.9</v>
      </c>
      <c r="H417" s="11" t="n">
        <v>18.6</v>
      </c>
      <c r="I417" s="12" t="n">
        <v>7</v>
      </c>
      <c r="J417" s="11" t="n">
        <v>109.1</v>
      </c>
      <c r="K417" s="13" t="n">
        <v>80.4</v>
      </c>
      <c r="L417" s="2" t="s">
        <v>72</v>
      </c>
      <c r="M417" s="14" t="n">
        <v>4541</v>
      </c>
      <c r="N417" s="2" t="s">
        <v>73</v>
      </c>
      <c r="O417" s="14" t="n">
        <f aca="false">IFERROR(M417/I417,"")</f>
        <v>648.714285714286</v>
      </c>
    </row>
    <row r="418" customFormat="false" ht="15" hidden="false" customHeight="false" outlineLevel="0" collapsed="false">
      <c r="A418" s="2" t="s">
        <v>810</v>
      </c>
      <c r="B418" s="2" t="s">
        <v>96</v>
      </c>
      <c r="C418" s="2" t="s">
        <v>97</v>
      </c>
      <c r="D418" s="2" t="s">
        <v>77</v>
      </c>
      <c r="E418" s="2" t="s">
        <v>70</v>
      </c>
      <c r="F418" s="2" t="s">
        <v>779</v>
      </c>
      <c r="G418" s="11" t="n">
        <v>23.6</v>
      </c>
      <c r="H418" s="11" t="n">
        <v>36.5</v>
      </c>
      <c r="I418" s="12" t="n">
        <v>7</v>
      </c>
      <c r="J418" s="11" t="n">
        <v>28.7</v>
      </c>
      <c r="K418" s="13" t="n">
        <v>61.9</v>
      </c>
      <c r="L418" s="2" t="s">
        <v>104</v>
      </c>
      <c r="M418" s="14" t="n">
        <v>16195</v>
      </c>
      <c r="N418" s="2" t="s">
        <v>73</v>
      </c>
      <c r="O418" s="14" t="n">
        <f aca="false">IFERROR(M418/I418,"")</f>
        <v>2313.57142857143</v>
      </c>
    </row>
    <row r="419" customFormat="false" ht="15" hidden="false" customHeight="false" outlineLevel="0" collapsed="false">
      <c r="A419" s="2" t="s">
        <v>811</v>
      </c>
      <c r="B419" s="2" t="s">
        <v>75</v>
      </c>
      <c r="C419" s="2" t="s">
        <v>76</v>
      </c>
      <c r="D419" s="2" t="s">
        <v>84</v>
      </c>
      <c r="E419" s="2" t="s">
        <v>78</v>
      </c>
      <c r="F419" s="2" t="s">
        <v>812</v>
      </c>
      <c r="G419" s="11" t="n">
        <v>32</v>
      </c>
      <c r="H419" s="11" t="n">
        <v>21.7</v>
      </c>
      <c r="I419" s="12" t="n">
        <v>24</v>
      </c>
      <c r="J419" s="11" t="n">
        <v>86.2</v>
      </c>
      <c r="K419" s="13" t="n">
        <v>66.9</v>
      </c>
      <c r="L419" s="2" t="s">
        <v>104</v>
      </c>
      <c r="M419" s="14" t="n">
        <v>19254</v>
      </c>
      <c r="N419" s="2" t="s">
        <v>73</v>
      </c>
      <c r="O419" s="14" t="n">
        <f aca="false">IFERROR(M419/I419,"")</f>
        <v>802.25</v>
      </c>
    </row>
    <row r="420" customFormat="false" ht="15" hidden="false" customHeight="false" outlineLevel="0" collapsed="false">
      <c r="A420" s="2" t="s">
        <v>813</v>
      </c>
      <c r="B420" s="2" t="s">
        <v>67</v>
      </c>
      <c r="C420" s="2" t="s">
        <v>68</v>
      </c>
      <c r="D420" s="2" t="s">
        <v>77</v>
      </c>
      <c r="E420" s="2" t="s">
        <v>107</v>
      </c>
      <c r="F420" s="2" t="s">
        <v>814</v>
      </c>
      <c r="G420" s="11" t="n">
        <v>51.5</v>
      </c>
      <c r="H420" s="11" t="n">
        <v>13.7</v>
      </c>
      <c r="I420" s="12" t="n">
        <v>18</v>
      </c>
      <c r="J420" s="11" t="n">
        <v>146</v>
      </c>
      <c r="K420" s="13" t="n">
        <v>93.1</v>
      </c>
      <c r="L420" s="2" t="s">
        <v>104</v>
      </c>
      <c r="M420" s="14" t="n">
        <v>3406</v>
      </c>
      <c r="N420" s="2" t="s">
        <v>73</v>
      </c>
      <c r="O420" s="14" t="n">
        <f aca="false">IFERROR(M420/I420,"")</f>
        <v>189.222222222222</v>
      </c>
    </row>
    <row r="421" customFormat="false" ht="15" hidden="false" customHeight="false" outlineLevel="0" collapsed="false">
      <c r="A421" s="2" t="s">
        <v>815</v>
      </c>
      <c r="B421" s="2" t="s">
        <v>111</v>
      </c>
      <c r="C421" s="2" t="s">
        <v>76</v>
      </c>
      <c r="D421" s="2" t="s">
        <v>127</v>
      </c>
      <c r="E421" s="2" t="s">
        <v>107</v>
      </c>
      <c r="F421" s="2" t="s">
        <v>816</v>
      </c>
      <c r="G421" s="11" t="n">
        <v>34.5</v>
      </c>
      <c r="H421" s="11" t="n">
        <v>20.8</v>
      </c>
      <c r="I421" s="12" t="n">
        <v>13</v>
      </c>
      <c r="J421" s="11" t="n">
        <v>50.3</v>
      </c>
      <c r="K421" s="13" t="n">
        <v>61.3</v>
      </c>
      <c r="L421" s="2" t="s">
        <v>72</v>
      </c>
      <c r="M421" s="14" t="n">
        <v>20349</v>
      </c>
      <c r="N421" s="2" t="s">
        <v>135</v>
      </c>
      <c r="O421" s="14" t="n">
        <f aca="false">IFERROR(M421/I421,"")</f>
        <v>1565.30769230769</v>
      </c>
    </row>
    <row r="422" customFormat="false" ht="15" hidden="false" customHeight="false" outlineLevel="0" collapsed="false">
      <c r="A422" s="2" t="s">
        <v>817</v>
      </c>
      <c r="B422" s="2" t="s">
        <v>165</v>
      </c>
      <c r="C422" s="2" t="s">
        <v>68</v>
      </c>
      <c r="D422" s="2" t="s">
        <v>122</v>
      </c>
      <c r="E422" s="2" t="s">
        <v>78</v>
      </c>
      <c r="F422" s="2" t="s">
        <v>818</v>
      </c>
      <c r="G422" s="11" t="n">
        <v>63.5</v>
      </c>
      <c r="H422" s="11" t="n">
        <v>17.6</v>
      </c>
      <c r="I422" s="12" t="n">
        <v>13</v>
      </c>
      <c r="J422" s="11" t="n">
        <v>57.4</v>
      </c>
      <c r="K422" s="13" t="n">
        <v>73.2</v>
      </c>
      <c r="L422" s="2" t="s">
        <v>72</v>
      </c>
      <c r="M422" s="14" t="n">
        <v>3757</v>
      </c>
      <c r="N422" s="2" t="s">
        <v>135</v>
      </c>
      <c r="O422" s="14" t="n">
        <f aca="false">IFERROR(M422/I422,"")</f>
        <v>289</v>
      </c>
    </row>
    <row r="423" customFormat="false" ht="15" hidden="false" customHeight="false" outlineLevel="0" collapsed="false">
      <c r="A423" s="2" t="s">
        <v>819</v>
      </c>
      <c r="B423" s="2" t="s">
        <v>89</v>
      </c>
      <c r="C423" s="2" t="s">
        <v>83</v>
      </c>
      <c r="D423" s="2" t="s">
        <v>127</v>
      </c>
      <c r="E423" s="2" t="s">
        <v>90</v>
      </c>
      <c r="F423" s="2" t="s">
        <v>820</v>
      </c>
      <c r="G423" s="11" t="n">
        <v>14.5</v>
      </c>
      <c r="H423" s="11" t="n">
        <v>9.7</v>
      </c>
      <c r="I423" s="12" t="n">
        <v>17</v>
      </c>
      <c r="J423" s="11" t="n">
        <v>14.2</v>
      </c>
      <c r="K423" s="13" t="n">
        <v>62</v>
      </c>
      <c r="L423" s="2" t="s">
        <v>104</v>
      </c>
      <c r="M423" s="14" t="n">
        <v>805</v>
      </c>
      <c r="N423" s="2" t="s">
        <v>73</v>
      </c>
      <c r="O423" s="14" t="n">
        <f aca="false">IFERROR(M423/I423,"")</f>
        <v>47.3529411764706</v>
      </c>
    </row>
    <row r="424" customFormat="false" ht="15" hidden="false" customHeight="false" outlineLevel="0" collapsed="false">
      <c r="A424" s="2" t="s">
        <v>821</v>
      </c>
      <c r="B424" s="2" t="s">
        <v>75</v>
      </c>
      <c r="C424" s="2" t="s">
        <v>76</v>
      </c>
      <c r="D424" s="2" t="s">
        <v>84</v>
      </c>
      <c r="E424" s="2" t="s">
        <v>85</v>
      </c>
      <c r="F424" s="2" t="s">
        <v>174</v>
      </c>
      <c r="G424" s="11" t="n">
        <v>45.9</v>
      </c>
      <c r="H424" s="11" t="n">
        <v>22.7</v>
      </c>
      <c r="I424" s="12" t="n">
        <v>5</v>
      </c>
      <c r="J424" s="11" t="n">
        <v>41.7</v>
      </c>
      <c r="K424" s="13" t="n">
        <v>64</v>
      </c>
      <c r="L424" s="2" t="s">
        <v>104</v>
      </c>
      <c r="M424" s="14" t="n">
        <v>12221</v>
      </c>
      <c r="N424" s="2" t="s">
        <v>73</v>
      </c>
      <c r="O424" s="14" t="n">
        <f aca="false">IFERROR(M424/I424,"")</f>
        <v>2444.2</v>
      </c>
    </row>
    <row r="425" customFormat="false" ht="15" hidden="false" customHeight="false" outlineLevel="0" collapsed="false">
      <c r="A425" s="2" t="s">
        <v>822</v>
      </c>
      <c r="B425" s="2" t="s">
        <v>96</v>
      </c>
      <c r="C425" s="2" t="s">
        <v>97</v>
      </c>
      <c r="D425" s="2" t="s">
        <v>77</v>
      </c>
      <c r="E425" s="2" t="s">
        <v>78</v>
      </c>
      <c r="F425" s="2" t="s">
        <v>823</v>
      </c>
      <c r="G425" s="11" t="n">
        <v>25.7</v>
      </c>
      <c r="H425" s="11" t="n">
        <v>41.1</v>
      </c>
      <c r="I425" s="12" t="n">
        <v>15</v>
      </c>
      <c r="J425" s="11" t="n">
        <v>49</v>
      </c>
      <c r="K425" s="13" t="n">
        <v>51.3</v>
      </c>
      <c r="L425" s="2" t="s">
        <v>72</v>
      </c>
      <c r="M425" s="14" t="n">
        <v>14972</v>
      </c>
      <c r="N425" s="2" t="s">
        <v>80</v>
      </c>
      <c r="O425" s="14" t="n">
        <f aca="false">IFERROR(M425/I425,"")</f>
        <v>998.133333333333</v>
      </c>
    </row>
    <row r="426" customFormat="false" ht="15" hidden="false" customHeight="false" outlineLevel="0" collapsed="false">
      <c r="A426" s="2" t="s">
        <v>824</v>
      </c>
      <c r="B426" s="2" t="s">
        <v>89</v>
      </c>
      <c r="C426" s="2" t="s">
        <v>83</v>
      </c>
      <c r="D426" s="2" t="s">
        <v>127</v>
      </c>
      <c r="E426" s="2" t="s">
        <v>98</v>
      </c>
      <c r="F426" s="2" t="s">
        <v>825</v>
      </c>
      <c r="G426" s="11" t="n">
        <v>13.9</v>
      </c>
      <c r="H426" s="11" t="n">
        <v>10.1</v>
      </c>
      <c r="I426" s="12" t="n">
        <v>20</v>
      </c>
      <c r="J426" s="11" t="n">
        <v>60.7</v>
      </c>
      <c r="K426" s="13" t="n">
        <v>62.7</v>
      </c>
      <c r="L426" s="2" t="s">
        <v>87</v>
      </c>
      <c r="M426" s="14" t="n">
        <v>676</v>
      </c>
      <c r="N426" s="2" t="s">
        <v>135</v>
      </c>
      <c r="O426" s="14" t="n">
        <f aca="false">IFERROR(M426/I426,"")</f>
        <v>33.8</v>
      </c>
    </row>
    <row r="427" customFormat="false" ht="15" hidden="false" customHeight="false" outlineLevel="0" collapsed="false">
      <c r="A427" s="2" t="s">
        <v>826</v>
      </c>
      <c r="B427" s="2" t="s">
        <v>89</v>
      </c>
      <c r="C427" s="2" t="s">
        <v>83</v>
      </c>
      <c r="D427" s="2" t="s">
        <v>77</v>
      </c>
      <c r="E427" s="2" t="s">
        <v>107</v>
      </c>
      <c r="F427" s="2" t="s">
        <v>827</v>
      </c>
      <c r="G427" s="11" t="n">
        <v>13</v>
      </c>
      <c r="H427" s="11" t="n">
        <v>7.1</v>
      </c>
      <c r="I427" s="12" t="n">
        <v>25</v>
      </c>
      <c r="J427" s="11" t="n">
        <v>93</v>
      </c>
      <c r="K427" s="13" t="n">
        <v>51.3</v>
      </c>
      <c r="L427" s="2" t="s">
        <v>109</v>
      </c>
      <c r="M427" s="14" t="n">
        <v>680</v>
      </c>
      <c r="N427" s="2" t="s">
        <v>135</v>
      </c>
      <c r="O427" s="14" t="n">
        <f aca="false">IFERROR(M427/I427,"")</f>
        <v>27.2</v>
      </c>
    </row>
    <row r="428" customFormat="false" ht="15" hidden="false" customHeight="false" outlineLevel="0" collapsed="false">
      <c r="A428" s="2" t="s">
        <v>828</v>
      </c>
      <c r="B428" s="2" t="s">
        <v>82</v>
      </c>
      <c r="C428" s="2" t="s">
        <v>83</v>
      </c>
      <c r="D428" s="2" t="s">
        <v>84</v>
      </c>
      <c r="E428" s="2" t="s">
        <v>107</v>
      </c>
      <c r="F428" s="2" t="s">
        <v>829</v>
      </c>
      <c r="G428" s="11" t="n">
        <v>14.6</v>
      </c>
      <c r="H428" s="11" t="n">
        <v>9</v>
      </c>
      <c r="I428" s="12" t="n">
        <v>20</v>
      </c>
      <c r="J428" s="11" t="n">
        <v>35.6</v>
      </c>
      <c r="K428" s="13" t="n">
        <v>53.5</v>
      </c>
      <c r="L428" s="2" t="s">
        <v>104</v>
      </c>
      <c r="M428" s="14" t="n">
        <v>725</v>
      </c>
      <c r="N428" s="2" t="s">
        <v>73</v>
      </c>
      <c r="O428" s="14" t="n">
        <f aca="false">IFERROR(M428/I428,"")</f>
        <v>36.25</v>
      </c>
    </row>
    <row r="429" customFormat="false" ht="15" hidden="false" customHeight="false" outlineLevel="0" collapsed="false">
      <c r="A429" s="2" t="s">
        <v>830</v>
      </c>
      <c r="B429" s="2" t="s">
        <v>165</v>
      </c>
      <c r="C429" s="2" t="s">
        <v>68</v>
      </c>
      <c r="D429" s="2" t="s">
        <v>122</v>
      </c>
      <c r="E429" s="2" t="s">
        <v>70</v>
      </c>
      <c r="F429" s="2" t="s">
        <v>756</v>
      </c>
      <c r="G429" s="11" t="n">
        <v>37.9</v>
      </c>
      <c r="H429" s="11" t="n">
        <v>19.1</v>
      </c>
      <c r="I429" s="12" t="n">
        <v>15</v>
      </c>
      <c r="J429" s="11" t="n">
        <v>170.3</v>
      </c>
      <c r="K429" s="13" t="n">
        <v>77.4</v>
      </c>
      <c r="L429" s="2" t="s">
        <v>87</v>
      </c>
      <c r="M429" s="14" t="n">
        <v>2938</v>
      </c>
      <c r="N429" s="2" t="s">
        <v>135</v>
      </c>
      <c r="O429" s="14" t="n">
        <f aca="false">IFERROR(M429/I429,"")</f>
        <v>195.866666666667</v>
      </c>
    </row>
    <row r="430" customFormat="false" ht="15" hidden="false" customHeight="false" outlineLevel="0" collapsed="false">
      <c r="A430" s="2" t="s">
        <v>831</v>
      </c>
      <c r="B430" s="2" t="s">
        <v>119</v>
      </c>
      <c r="C430" s="2" t="s">
        <v>102</v>
      </c>
      <c r="D430" s="2" t="s">
        <v>77</v>
      </c>
      <c r="E430" s="2" t="s">
        <v>78</v>
      </c>
      <c r="F430" s="2" t="s">
        <v>472</v>
      </c>
      <c r="G430" s="11" t="n">
        <v>35.9</v>
      </c>
      <c r="H430" s="11" t="n">
        <v>22.8</v>
      </c>
      <c r="I430" s="12" t="n">
        <v>21</v>
      </c>
      <c r="J430" s="11" t="n">
        <v>102.1</v>
      </c>
      <c r="K430" s="13" t="n">
        <v>91.8</v>
      </c>
      <c r="L430" s="2" t="s">
        <v>104</v>
      </c>
      <c r="M430" s="14" t="n">
        <v>9896</v>
      </c>
      <c r="N430" s="2" t="s">
        <v>73</v>
      </c>
      <c r="O430" s="14" t="n">
        <f aca="false">IFERROR(M430/I430,"")</f>
        <v>471.238095238095</v>
      </c>
    </row>
    <row r="431" customFormat="false" ht="15" hidden="false" customHeight="false" outlineLevel="0" collapsed="false">
      <c r="A431" s="2" t="s">
        <v>832</v>
      </c>
      <c r="B431" s="2" t="s">
        <v>119</v>
      </c>
      <c r="C431" s="2" t="s">
        <v>102</v>
      </c>
      <c r="D431" s="2" t="s">
        <v>77</v>
      </c>
      <c r="E431" s="2" t="s">
        <v>107</v>
      </c>
      <c r="F431" s="2" t="s">
        <v>296</v>
      </c>
      <c r="G431" s="11" t="n">
        <v>41.2</v>
      </c>
      <c r="H431" s="11" t="n">
        <v>30.8</v>
      </c>
      <c r="I431" s="12" t="n">
        <v>11</v>
      </c>
      <c r="J431" s="11" t="n">
        <v>85.3</v>
      </c>
      <c r="K431" s="13" t="n">
        <v>79.7</v>
      </c>
      <c r="L431" s="2" t="s">
        <v>72</v>
      </c>
      <c r="M431" s="14" t="n">
        <v>8953</v>
      </c>
      <c r="N431" s="2" t="s">
        <v>80</v>
      </c>
      <c r="O431" s="14" t="n">
        <f aca="false">IFERROR(M431/I431,"")</f>
        <v>813.909090909091</v>
      </c>
    </row>
    <row r="432" customFormat="false" ht="15" hidden="false" customHeight="false" outlineLevel="0" collapsed="false">
      <c r="A432" s="2" t="s">
        <v>833</v>
      </c>
      <c r="B432" s="2" t="s">
        <v>111</v>
      </c>
      <c r="C432" s="2" t="s">
        <v>76</v>
      </c>
      <c r="D432" s="2" t="s">
        <v>77</v>
      </c>
      <c r="E432" s="2" t="s">
        <v>98</v>
      </c>
      <c r="F432" s="2" t="s">
        <v>698</v>
      </c>
      <c r="G432" s="11" t="n">
        <v>52</v>
      </c>
      <c r="H432" s="11" t="n">
        <v>19.9</v>
      </c>
      <c r="I432" s="12" t="n">
        <v>5</v>
      </c>
      <c r="J432" s="11" t="n">
        <v>26.1</v>
      </c>
      <c r="K432" s="13" t="n">
        <v>73.8</v>
      </c>
      <c r="L432" s="2" t="s">
        <v>104</v>
      </c>
      <c r="M432" s="14" t="n">
        <v>21099</v>
      </c>
      <c r="N432" s="2" t="s">
        <v>73</v>
      </c>
      <c r="O432" s="14" t="n">
        <f aca="false">IFERROR(M432/I432,"")</f>
        <v>4219.8</v>
      </c>
    </row>
    <row r="433" customFormat="false" ht="15" hidden="false" customHeight="false" outlineLevel="0" collapsed="false">
      <c r="A433" s="2" t="s">
        <v>834</v>
      </c>
      <c r="B433" s="2" t="s">
        <v>67</v>
      </c>
      <c r="C433" s="2" t="s">
        <v>68</v>
      </c>
      <c r="D433" s="2" t="s">
        <v>69</v>
      </c>
      <c r="E433" s="2" t="s">
        <v>107</v>
      </c>
      <c r="F433" s="2" t="s">
        <v>273</v>
      </c>
      <c r="G433" s="11" t="n">
        <v>61.4</v>
      </c>
      <c r="H433" s="11" t="n">
        <v>14.1</v>
      </c>
      <c r="I433" s="12" t="n">
        <v>6</v>
      </c>
      <c r="J433" s="11" t="n">
        <v>49.5</v>
      </c>
      <c r="K433" s="13" t="n">
        <v>85.4</v>
      </c>
      <c r="L433" s="2" t="s">
        <v>104</v>
      </c>
      <c r="M433" s="14" t="n">
        <v>3497</v>
      </c>
      <c r="N433" s="2" t="s">
        <v>73</v>
      </c>
      <c r="O433" s="14" t="n">
        <f aca="false">IFERROR(M433/I433,"")</f>
        <v>582.833333333333</v>
      </c>
    </row>
    <row r="434" customFormat="false" ht="15" hidden="false" customHeight="false" outlineLevel="0" collapsed="false">
      <c r="A434" s="2" t="s">
        <v>835</v>
      </c>
      <c r="B434" s="2" t="s">
        <v>165</v>
      </c>
      <c r="C434" s="2" t="s">
        <v>68</v>
      </c>
      <c r="D434" s="2" t="s">
        <v>77</v>
      </c>
      <c r="E434" s="2" t="s">
        <v>116</v>
      </c>
      <c r="F434" s="2" t="s">
        <v>836</v>
      </c>
      <c r="G434" s="11" t="n">
        <v>56.1</v>
      </c>
      <c r="H434" s="11" t="n">
        <v>12.7</v>
      </c>
      <c r="I434" s="12" t="n">
        <v>5</v>
      </c>
      <c r="J434" s="11" t="n">
        <v>8.5</v>
      </c>
      <c r="K434" s="13" t="n">
        <v>89.4</v>
      </c>
      <c r="L434" s="2" t="s">
        <v>104</v>
      </c>
      <c r="M434" s="14" t="n">
        <v>3214</v>
      </c>
      <c r="N434" s="2" t="s">
        <v>73</v>
      </c>
      <c r="O434" s="14" t="n">
        <f aca="false">IFERROR(M434/I434,"")</f>
        <v>642.8</v>
      </c>
    </row>
    <row r="435" customFormat="false" ht="15" hidden="false" customHeight="false" outlineLevel="0" collapsed="false">
      <c r="A435" s="2" t="s">
        <v>837</v>
      </c>
      <c r="B435" s="2" t="s">
        <v>101</v>
      </c>
      <c r="C435" s="2" t="s">
        <v>102</v>
      </c>
      <c r="D435" s="2" t="s">
        <v>122</v>
      </c>
      <c r="E435" s="2" t="s">
        <v>107</v>
      </c>
      <c r="F435" s="2" t="s">
        <v>632</v>
      </c>
      <c r="G435" s="11" t="n">
        <v>27.4</v>
      </c>
      <c r="H435" s="11" t="n">
        <v>22.9</v>
      </c>
      <c r="I435" s="12" t="n">
        <v>13</v>
      </c>
      <c r="J435" s="11" t="n">
        <v>101.1</v>
      </c>
      <c r="K435" s="13" t="n">
        <v>73.5</v>
      </c>
      <c r="L435" s="2" t="s">
        <v>109</v>
      </c>
      <c r="M435" s="14" t="n">
        <v>8600</v>
      </c>
      <c r="N435" s="2" t="s">
        <v>135</v>
      </c>
      <c r="O435" s="14" t="n">
        <f aca="false">IFERROR(M435/I435,"")</f>
        <v>661.538461538462</v>
      </c>
    </row>
    <row r="436" customFormat="false" ht="15" hidden="false" customHeight="false" outlineLevel="0" collapsed="false">
      <c r="A436" s="2" t="s">
        <v>838</v>
      </c>
      <c r="B436" s="2" t="s">
        <v>106</v>
      </c>
      <c r="C436" s="2" t="s">
        <v>68</v>
      </c>
      <c r="D436" s="2" t="s">
        <v>127</v>
      </c>
      <c r="E436" s="2" t="s">
        <v>78</v>
      </c>
      <c r="F436" s="2" t="s">
        <v>839</v>
      </c>
      <c r="G436" s="11" t="n">
        <v>56.2</v>
      </c>
      <c r="H436" s="11" t="n">
        <v>16.5</v>
      </c>
      <c r="I436" s="12" t="n">
        <v>9</v>
      </c>
      <c r="J436" s="11" t="n">
        <v>126.3</v>
      </c>
      <c r="K436" s="13" t="n">
        <v>60.7</v>
      </c>
      <c r="L436" s="2" t="s">
        <v>109</v>
      </c>
      <c r="M436" s="14" t="n">
        <v>3851</v>
      </c>
      <c r="N436" s="2" t="s">
        <v>73</v>
      </c>
      <c r="O436" s="14" t="n">
        <f aca="false">IFERROR(M436/I436,"")</f>
        <v>427.888888888889</v>
      </c>
    </row>
    <row r="437" customFormat="false" ht="15" hidden="false" customHeight="false" outlineLevel="0" collapsed="false">
      <c r="A437" s="2" t="s">
        <v>840</v>
      </c>
      <c r="B437" s="2" t="s">
        <v>67</v>
      </c>
      <c r="C437" s="2" t="s">
        <v>68</v>
      </c>
      <c r="D437" s="2" t="s">
        <v>77</v>
      </c>
      <c r="E437" s="2" t="s">
        <v>70</v>
      </c>
      <c r="F437" s="2" t="s">
        <v>430</v>
      </c>
      <c r="G437" s="11" t="n">
        <v>39.9</v>
      </c>
      <c r="H437" s="11" t="n">
        <v>16.8</v>
      </c>
      <c r="I437" s="12" t="n">
        <v>5</v>
      </c>
      <c r="J437" s="11" t="n">
        <v>27.1</v>
      </c>
      <c r="K437" s="13" t="n">
        <v>76.4</v>
      </c>
      <c r="L437" s="2" t="s">
        <v>72</v>
      </c>
      <c r="M437" s="14" t="n">
        <v>2681</v>
      </c>
      <c r="N437" s="2" t="s">
        <v>73</v>
      </c>
      <c r="O437" s="14" t="n">
        <f aca="false">IFERROR(M437/I437,"")</f>
        <v>536.2</v>
      </c>
    </row>
    <row r="438" customFormat="false" ht="15" hidden="false" customHeight="false" outlineLevel="0" collapsed="false">
      <c r="A438" s="2" t="s">
        <v>841</v>
      </c>
      <c r="B438" s="2" t="s">
        <v>96</v>
      </c>
      <c r="C438" s="2" t="s">
        <v>97</v>
      </c>
      <c r="D438" s="2" t="s">
        <v>130</v>
      </c>
      <c r="E438" s="2" t="s">
        <v>98</v>
      </c>
      <c r="F438" s="2" t="s">
        <v>754</v>
      </c>
      <c r="G438" s="11" t="n">
        <v>24.5</v>
      </c>
      <c r="H438" s="11" t="n">
        <v>22.3</v>
      </c>
      <c r="I438" s="12" t="n">
        <v>10</v>
      </c>
      <c r="J438" s="11" t="n">
        <v>67.5</v>
      </c>
      <c r="K438" s="13" t="n">
        <v>73.8</v>
      </c>
      <c r="L438" s="2" t="s">
        <v>87</v>
      </c>
      <c r="M438" s="14" t="n">
        <v>13073</v>
      </c>
      <c r="N438" s="2" t="s">
        <v>73</v>
      </c>
      <c r="O438" s="14" t="n">
        <f aca="false">IFERROR(M438/I438,"")</f>
        <v>1307.3</v>
      </c>
    </row>
    <row r="439" customFormat="false" ht="15" hidden="false" customHeight="false" outlineLevel="0" collapsed="false">
      <c r="A439" s="2" t="s">
        <v>842</v>
      </c>
      <c r="B439" s="2" t="s">
        <v>82</v>
      </c>
      <c r="C439" s="2" t="s">
        <v>83</v>
      </c>
      <c r="D439" s="2" t="s">
        <v>84</v>
      </c>
      <c r="E439" s="2" t="s">
        <v>98</v>
      </c>
      <c r="F439" s="2" t="s">
        <v>843</v>
      </c>
      <c r="G439" s="11" t="n">
        <v>13.6</v>
      </c>
      <c r="H439" s="11" t="n">
        <v>9</v>
      </c>
      <c r="I439" s="12" t="n">
        <v>4</v>
      </c>
      <c r="J439" s="11" t="n">
        <v>7.8</v>
      </c>
      <c r="K439" s="13" t="n">
        <v>69.8</v>
      </c>
      <c r="L439" s="2" t="s">
        <v>87</v>
      </c>
      <c r="M439" s="14" t="n">
        <v>593</v>
      </c>
      <c r="N439" s="2" t="s">
        <v>135</v>
      </c>
      <c r="O439" s="14" t="n">
        <f aca="false">IFERROR(M439/I439,"")</f>
        <v>148.25</v>
      </c>
    </row>
    <row r="440" customFormat="false" ht="15" hidden="false" customHeight="false" outlineLevel="0" collapsed="false">
      <c r="A440" s="2" t="s">
        <v>844</v>
      </c>
      <c r="B440" s="2" t="s">
        <v>93</v>
      </c>
      <c r="C440" s="2" t="s">
        <v>83</v>
      </c>
      <c r="D440" s="2" t="s">
        <v>127</v>
      </c>
      <c r="E440" s="2" t="s">
        <v>78</v>
      </c>
      <c r="F440" s="2" t="s">
        <v>845</v>
      </c>
      <c r="G440" s="11" t="n">
        <v>13.5</v>
      </c>
      <c r="H440" s="11" t="n">
        <v>10.6</v>
      </c>
      <c r="I440" s="12" t="n">
        <v>12</v>
      </c>
      <c r="J440" s="11" t="n">
        <v>20.1</v>
      </c>
      <c r="K440" s="13" t="n">
        <v>67</v>
      </c>
      <c r="L440" s="2" t="s">
        <v>87</v>
      </c>
      <c r="M440" s="14" t="n">
        <v>643</v>
      </c>
      <c r="N440" s="2" t="s">
        <v>73</v>
      </c>
      <c r="O440" s="14" t="n">
        <f aca="false">IFERROR(M440/I440,"")</f>
        <v>53.5833333333333</v>
      </c>
    </row>
    <row r="441" customFormat="false" ht="15" hidden="false" customHeight="false" outlineLevel="0" collapsed="false">
      <c r="A441" s="2" t="s">
        <v>846</v>
      </c>
      <c r="B441" s="2" t="s">
        <v>89</v>
      </c>
      <c r="C441" s="2" t="s">
        <v>83</v>
      </c>
      <c r="D441" s="2" t="s">
        <v>77</v>
      </c>
      <c r="E441" s="2" t="s">
        <v>78</v>
      </c>
      <c r="F441" s="2" t="s">
        <v>649</v>
      </c>
      <c r="G441" s="11" t="n">
        <v>15.7</v>
      </c>
      <c r="H441" s="11" t="n">
        <v>8</v>
      </c>
      <c r="I441" s="12" t="n">
        <v>32</v>
      </c>
      <c r="J441" s="11" t="n">
        <v>87.1</v>
      </c>
      <c r="K441" s="13" t="n">
        <v>51</v>
      </c>
      <c r="L441" s="2" t="s">
        <v>72</v>
      </c>
      <c r="M441" s="14" t="n">
        <v>614</v>
      </c>
      <c r="N441" s="2" t="s">
        <v>73</v>
      </c>
      <c r="O441" s="14" t="n">
        <f aca="false">IFERROR(M441/I441,"")</f>
        <v>19.1875</v>
      </c>
    </row>
    <row r="442" customFormat="false" ht="15" hidden="false" customHeight="false" outlineLevel="0" collapsed="false">
      <c r="A442" s="2" t="s">
        <v>847</v>
      </c>
      <c r="B442" s="2" t="s">
        <v>192</v>
      </c>
      <c r="C442" s="2" t="s">
        <v>126</v>
      </c>
      <c r="D442" s="2" t="s">
        <v>77</v>
      </c>
      <c r="E442" s="2" t="s">
        <v>107</v>
      </c>
      <c r="F442" s="2" t="s">
        <v>716</v>
      </c>
      <c r="G442" s="11" t="n">
        <v>403</v>
      </c>
      <c r="H442" s="11" t="n">
        <v>654.5</v>
      </c>
      <c r="I442" s="12" t="n">
        <v>25</v>
      </c>
      <c r="J442" s="11" t="n">
        <v>2235.6</v>
      </c>
      <c r="K442" s="13" t="n">
        <v>62.3</v>
      </c>
      <c r="L442" s="2" t="s">
        <v>72</v>
      </c>
      <c r="M442" s="14" t="n">
        <v>122393</v>
      </c>
      <c r="N442" s="2" t="s">
        <v>80</v>
      </c>
      <c r="O442" s="14" t="n">
        <f aca="false">IFERROR(M442/I442,"")</f>
        <v>4895.72</v>
      </c>
    </row>
    <row r="443" customFormat="false" ht="15" hidden="false" customHeight="false" outlineLevel="0" collapsed="false">
      <c r="A443" s="2" t="s">
        <v>848</v>
      </c>
      <c r="B443" s="2" t="s">
        <v>82</v>
      </c>
      <c r="C443" s="2" t="s">
        <v>83</v>
      </c>
      <c r="D443" s="2" t="s">
        <v>77</v>
      </c>
      <c r="E443" s="2" t="s">
        <v>107</v>
      </c>
      <c r="F443" s="2" t="s">
        <v>766</v>
      </c>
      <c r="G443" s="11" t="n">
        <v>11.5</v>
      </c>
      <c r="H443" s="11" t="n">
        <v>8.1</v>
      </c>
      <c r="I443" s="12" t="n">
        <v>16</v>
      </c>
      <c r="J443" s="11" t="n">
        <v>28.1</v>
      </c>
      <c r="K443" s="13" t="n">
        <v>57.7</v>
      </c>
      <c r="L443" s="2" t="s">
        <v>72</v>
      </c>
      <c r="M443" s="14" t="n">
        <v>701</v>
      </c>
      <c r="N443" s="2" t="s">
        <v>73</v>
      </c>
      <c r="O443" s="14" t="n">
        <f aca="false">IFERROR(M443/I443,"")</f>
        <v>43.8125</v>
      </c>
    </row>
    <row r="444" customFormat="false" ht="15" hidden="false" customHeight="false" outlineLevel="0" collapsed="false">
      <c r="A444" s="2" t="s">
        <v>849</v>
      </c>
      <c r="B444" s="2" t="s">
        <v>96</v>
      </c>
      <c r="C444" s="2" t="s">
        <v>97</v>
      </c>
      <c r="D444" s="2" t="s">
        <v>69</v>
      </c>
      <c r="E444" s="2" t="s">
        <v>78</v>
      </c>
      <c r="F444" s="2" t="s">
        <v>850</v>
      </c>
      <c r="G444" s="11" t="n">
        <v>26.1</v>
      </c>
      <c r="H444" s="11" t="n">
        <v>30.2</v>
      </c>
      <c r="I444" s="12" t="n">
        <v>5</v>
      </c>
      <c r="J444" s="11" t="n">
        <v>28.5</v>
      </c>
      <c r="K444" s="13" t="n">
        <v>42.7</v>
      </c>
      <c r="L444" s="2" t="s">
        <v>109</v>
      </c>
      <c r="M444" s="14" t="n">
        <v>16923</v>
      </c>
      <c r="N444" s="2" t="s">
        <v>80</v>
      </c>
      <c r="O444" s="14" t="n">
        <f aca="false">IFERROR(M444/I444,"")</f>
        <v>3384.6</v>
      </c>
    </row>
    <row r="445" customFormat="false" ht="15" hidden="false" customHeight="false" outlineLevel="0" collapsed="false">
      <c r="A445" s="2" t="s">
        <v>851</v>
      </c>
      <c r="B445" s="2" t="s">
        <v>93</v>
      </c>
      <c r="C445" s="2" t="s">
        <v>83</v>
      </c>
      <c r="D445" s="2" t="s">
        <v>77</v>
      </c>
      <c r="E445" s="2" t="s">
        <v>78</v>
      </c>
      <c r="F445" s="2" t="s">
        <v>324</v>
      </c>
      <c r="G445" s="11" t="n">
        <v>12.5</v>
      </c>
      <c r="H445" s="11" t="n">
        <v>10.9</v>
      </c>
      <c r="I445" s="12" t="n">
        <v>36</v>
      </c>
      <c r="J445" s="11" t="n">
        <v>26.5</v>
      </c>
      <c r="K445" s="13" t="n">
        <v>56</v>
      </c>
      <c r="L445" s="2" t="s">
        <v>104</v>
      </c>
      <c r="M445" s="14" t="n">
        <v>566</v>
      </c>
      <c r="N445" s="2" t="s">
        <v>135</v>
      </c>
      <c r="O445" s="14" t="n">
        <f aca="false">IFERROR(M445/I445,"")</f>
        <v>15.7222222222222</v>
      </c>
    </row>
    <row r="446" customFormat="false" ht="15" hidden="false" customHeight="false" outlineLevel="0" collapsed="false">
      <c r="A446" s="2" t="s">
        <v>852</v>
      </c>
      <c r="B446" s="2" t="s">
        <v>89</v>
      </c>
      <c r="C446" s="2" t="s">
        <v>83</v>
      </c>
      <c r="D446" s="2" t="s">
        <v>77</v>
      </c>
      <c r="E446" s="2" t="s">
        <v>98</v>
      </c>
      <c r="F446" s="2" t="s">
        <v>853</v>
      </c>
      <c r="G446" s="11" t="n">
        <v>16.1</v>
      </c>
      <c r="H446" s="11" t="n">
        <v>10</v>
      </c>
      <c r="I446" s="12" t="n">
        <v>23</v>
      </c>
      <c r="J446" s="11" t="n">
        <v>74.2</v>
      </c>
      <c r="K446" s="13" t="n">
        <v>59.6</v>
      </c>
      <c r="L446" s="2" t="s">
        <v>87</v>
      </c>
      <c r="M446" s="14" t="n">
        <v>666</v>
      </c>
      <c r="N446" s="2" t="s">
        <v>135</v>
      </c>
      <c r="O446" s="14" t="n">
        <f aca="false">IFERROR(M446/I446,"")</f>
        <v>28.9565217391304</v>
      </c>
    </row>
    <row r="447" customFormat="false" ht="15" hidden="false" customHeight="false" outlineLevel="0" collapsed="false">
      <c r="A447" s="2" t="s">
        <v>854</v>
      </c>
      <c r="B447" s="2" t="s">
        <v>165</v>
      </c>
      <c r="C447" s="2" t="s">
        <v>68</v>
      </c>
      <c r="D447" s="2" t="s">
        <v>84</v>
      </c>
      <c r="E447" s="2" t="s">
        <v>107</v>
      </c>
      <c r="F447" s="2" t="s">
        <v>449</v>
      </c>
      <c r="G447" s="11" t="n">
        <v>43.6</v>
      </c>
      <c r="H447" s="11" t="n">
        <v>20.5</v>
      </c>
      <c r="I447" s="12" t="n">
        <v>22</v>
      </c>
      <c r="J447" s="11" t="n">
        <v>21.6</v>
      </c>
      <c r="K447" s="13" t="n">
        <v>90.5</v>
      </c>
      <c r="L447" s="2" t="s">
        <v>87</v>
      </c>
      <c r="M447" s="14" t="n">
        <v>3052</v>
      </c>
      <c r="N447" s="2" t="s">
        <v>73</v>
      </c>
      <c r="O447" s="14" t="n">
        <f aca="false">IFERROR(M447/I447,"")</f>
        <v>138.727272727273</v>
      </c>
    </row>
    <row r="448" customFormat="false" ht="15" hidden="false" customHeight="false" outlineLevel="0" collapsed="false">
      <c r="A448" s="2" t="s">
        <v>855</v>
      </c>
      <c r="B448" s="2" t="s">
        <v>125</v>
      </c>
      <c r="C448" s="2" t="s">
        <v>126</v>
      </c>
      <c r="D448" s="2" t="s">
        <v>77</v>
      </c>
      <c r="E448" s="2" t="s">
        <v>116</v>
      </c>
      <c r="F448" s="2" t="s">
        <v>610</v>
      </c>
      <c r="G448" s="11" t="n">
        <v>390.5</v>
      </c>
      <c r="H448" s="11" t="n">
        <v>822.7</v>
      </c>
      <c r="I448" s="12" t="n">
        <v>10</v>
      </c>
      <c r="J448" s="11" t="n">
        <v>575</v>
      </c>
      <c r="K448" s="13" t="n">
        <v>76.9</v>
      </c>
      <c r="L448" s="2" t="s">
        <v>104</v>
      </c>
      <c r="M448" s="14" t="n">
        <v>185578</v>
      </c>
      <c r="N448" s="2" t="s">
        <v>73</v>
      </c>
      <c r="O448" s="14" t="n">
        <f aca="false">IFERROR(M448/I448,"")</f>
        <v>18557.8</v>
      </c>
    </row>
    <row r="449" customFormat="false" ht="15" hidden="false" customHeight="false" outlineLevel="0" collapsed="false">
      <c r="A449" s="2" t="s">
        <v>856</v>
      </c>
      <c r="B449" s="2" t="s">
        <v>165</v>
      </c>
      <c r="C449" s="2" t="s">
        <v>68</v>
      </c>
      <c r="D449" s="2" t="s">
        <v>77</v>
      </c>
      <c r="E449" s="2" t="s">
        <v>70</v>
      </c>
      <c r="F449" s="2" t="s">
        <v>857</v>
      </c>
      <c r="G449" s="11" t="n">
        <v>62</v>
      </c>
      <c r="H449" s="11" t="n">
        <v>18</v>
      </c>
      <c r="I449" s="12" t="n">
        <v>13</v>
      </c>
      <c r="J449" s="11" t="n">
        <v>226.4</v>
      </c>
      <c r="K449" s="13" t="n">
        <v>97.3</v>
      </c>
      <c r="L449" s="2" t="s">
        <v>104</v>
      </c>
      <c r="M449" s="14" t="n">
        <v>3351</v>
      </c>
      <c r="N449" s="2" t="s">
        <v>80</v>
      </c>
      <c r="O449" s="14" t="n">
        <f aca="false">IFERROR(M449/I449,"")</f>
        <v>257.769230769231</v>
      </c>
    </row>
    <row r="450" customFormat="false" ht="15" hidden="false" customHeight="false" outlineLevel="0" collapsed="false">
      <c r="A450" s="2" t="s">
        <v>858</v>
      </c>
      <c r="B450" s="2" t="s">
        <v>111</v>
      </c>
      <c r="C450" s="2" t="s">
        <v>76</v>
      </c>
      <c r="D450" s="2" t="s">
        <v>77</v>
      </c>
      <c r="E450" s="2" t="s">
        <v>78</v>
      </c>
      <c r="F450" s="2" t="s">
        <v>859</v>
      </c>
      <c r="G450" s="11" t="n">
        <v>36.9</v>
      </c>
      <c r="H450" s="11" t="n">
        <v>21.9</v>
      </c>
      <c r="I450" s="12" t="n">
        <v>9</v>
      </c>
      <c r="J450" s="11" t="n">
        <v>69.5</v>
      </c>
      <c r="K450" s="13" t="n">
        <v>76.7</v>
      </c>
      <c r="L450" s="2" t="s">
        <v>104</v>
      </c>
      <c r="M450" s="14" t="n">
        <v>26213</v>
      </c>
      <c r="N450" s="2" t="s">
        <v>73</v>
      </c>
      <c r="O450" s="14" t="n">
        <f aca="false">IFERROR(M450/I450,"")</f>
        <v>2912.55555555556</v>
      </c>
    </row>
    <row r="451" customFormat="false" ht="15" hidden="false" customHeight="false" outlineLevel="0" collapsed="false">
      <c r="A451" s="2" t="s">
        <v>860</v>
      </c>
      <c r="B451" s="2" t="s">
        <v>75</v>
      </c>
      <c r="C451" s="2" t="s">
        <v>76</v>
      </c>
      <c r="D451" s="2" t="s">
        <v>77</v>
      </c>
      <c r="E451" s="2" t="s">
        <v>90</v>
      </c>
      <c r="F451" s="2" t="s">
        <v>861</v>
      </c>
      <c r="G451" s="11" t="n">
        <v>44.2</v>
      </c>
      <c r="H451" s="11" t="n">
        <v>22.5</v>
      </c>
      <c r="I451" s="12" t="n">
        <v>17</v>
      </c>
      <c r="J451" s="11" t="n">
        <v>58.6</v>
      </c>
      <c r="K451" s="13" t="n">
        <v>68.5</v>
      </c>
      <c r="L451" s="2" t="s">
        <v>104</v>
      </c>
      <c r="M451" s="14" t="n">
        <v>19712</v>
      </c>
      <c r="N451" s="2" t="s">
        <v>135</v>
      </c>
      <c r="O451" s="14" t="n">
        <f aca="false">IFERROR(M451/I451,"")</f>
        <v>1159.52941176471</v>
      </c>
    </row>
    <row r="452" customFormat="false" ht="15" hidden="false" customHeight="false" outlineLevel="0" collapsed="false">
      <c r="A452" s="2" t="s">
        <v>862</v>
      </c>
      <c r="B452" s="2" t="s">
        <v>101</v>
      </c>
      <c r="C452" s="2" t="s">
        <v>102</v>
      </c>
      <c r="D452" s="2" t="s">
        <v>77</v>
      </c>
      <c r="E452" s="2" t="s">
        <v>78</v>
      </c>
      <c r="F452" s="2" t="s">
        <v>437</v>
      </c>
      <c r="G452" s="11" t="n">
        <v>36.1</v>
      </c>
      <c r="H452" s="11" t="n">
        <v>30.7</v>
      </c>
      <c r="I452" s="12" t="n">
        <v>25</v>
      </c>
      <c r="J452" s="11" t="n">
        <v>128.8</v>
      </c>
      <c r="K452" s="13" t="n">
        <v>71.5</v>
      </c>
      <c r="L452" s="2" t="s">
        <v>109</v>
      </c>
      <c r="M452" s="14" t="n">
        <v>9438</v>
      </c>
      <c r="N452" s="2" t="s">
        <v>135</v>
      </c>
      <c r="O452" s="14" t="n">
        <f aca="false">IFERROR(M452/I452,"")</f>
        <v>377.52</v>
      </c>
    </row>
    <row r="453" customFormat="false" ht="15" hidden="false" customHeight="false" outlineLevel="0" collapsed="false">
      <c r="A453" s="2" t="s">
        <v>863</v>
      </c>
      <c r="B453" s="2" t="s">
        <v>165</v>
      </c>
      <c r="C453" s="2" t="s">
        <v>68</v>
      </c>
      <c r="D453" s="2" t="s">
        <v>77</v>
      </c>
      <c r="E453" s="2" t="s">
        <v>107</v>
      </c>
      <c r="F453" s="2" t="s">
        <v>836</v>
      </c>
      <c r="G453" s="11" t="n">
        <v>52.3</v>
      </c>
      <c r="H453" s="11" t="n">
        <v>20.7</v>
      </c>
      <c r="I453" s="12" t="n">
        <v>5</v>
      </c>
      <c r="J453" s="11" t="n">
        <v>7.7</v>
      </c>
      <c r="K453" s="13" t="n">
        <v>63.9</v>
      </c>
      <c r="L453" s="2" t="s">
        <v>109</v>
      </c>
      <c r="M453" s="14" t="n">
        <v>3035</v>
      </c>
      <c r="N453" s="2" t="s">
        <v>73</v>
      </c>
      <c r="O453" s="14" t="n">
        <f aca="false">IFERROR(M453/I453,"")</f>
        <v>607</v>
      </c>
    </row>
    <row r="454" customFormat="false" ht="15" hidden="false" customHeight="false" outlineLevel="0" collapsed="false">
      <c r="A454" s="2" t="s">
        <v>864</v>
      </c>
      <c r="B454" s="2" t="s">
        <v>106</v>
      </c>
      <c r="C454" s="2" t="s">
        <v>68</v>
      </c>
      <c r="D454" s="2" t="s">
        <v>130</v>
      </c>
      <c r="E454" s="2" t="s">
        <v>107</v>
      </c>
      <c r="F454" s="2" t="s">
        <v>163</v>
      </c>
      <c r="G454" s="11" t="n">
        <v>41.4</v>
      </c>
      <c r="H454" s="11" t="n">
        <v>15.4</v>
      </c>
      <c r="I454" s="12" t="n">
        <v>3</v>
      </c>
      <c r="J454" s="11" t="n">
        <v>35.3</v>
      </c>
      <c r="K454" s="13" t="n">
        <v>80.9</v>
      </c>
      <c r="L454" s="2" t="s">
        <v>72</v>
      </c>
      <c r="M454" s="14" t="n">
        <v>3148</v>
      </c>
      <c r="N454" s="2" t="s">
        <v>80</v>
      </c>
      <c r="O454" s="14" t="n">
        <f aca="false">IFERROR(M454/I454,"")</f>
        <v>1049.33333333333</v>
      </c>
    </row>
    <row r="455" customFormat="false" ht="15" hidden="false" customHeight="false" outlineLevel="0" collapsed="false">
      <c r="A455" s="2" t="s">
        <v>865</v>
      </c>
      <c r="B455" s="2" t="s">
        <v>75</v>
      </c>
      <c r="C455" s="2" t="s">
        <v>76</v>
      </c>
      <c r="D455" s="2" t="s">
        <v>127</v>
      </c>
      <c r="E455" s="2" t="s">
        <v>78</v>
      </c>
      <c r="F455" s="2" t="s">
        <v>666</v>
      </c>
      <c r="G455" s="11" t="n">
        <v>42.1</v>
      </c>
      <c r="H455" s="11" t="n">
        <v>19.1</v>
      </c>
      <c r="I455" s="12" t="n">
        <v>21</v>
      </c>
      <c r="J455" s="11" t="n">
        <v>221.8</v>
      </c>
      <c r="K455" s="13" t="n">
        <v>46.9</v>
      </c>
      <c r="L455" s="2" t="s">
        <v>109</v>
      </c>
      <c r="M455" s="14" t="n">
        <v>22334</v>
      </c>
      <c r="N455" s="2" t="s">
        <v>73</v>
      </c>
      <c r="O455" s="14" t="n">
        <f aca="false">IFERROR(M455/I455,"")</f>
        <v>1063.52380952381</v>
      </c>
    </row>
    <row r="456" customFormat="false" ht="15" hidden="false" customHeight="false" outlineLevel="0" collapsed="false">
      <c r="A456" s="2" t="s">
        <v>866</v>
      </c>
      <c r="B456" s="2" t="s">
        <v>93</v>
      </c>
      <c r="C456" s="2" t="s">
        <v>83</v>
      </c>
      <c r="D456" s="2" t="s">
        <v>77</v>
      </c>
      <c r="E456" s="2" t="s">
        <v>85</v>
      </c>
      <c r="F456" s="2" t="s">
        <v>618</v>
      </c>
      <c r="G456" s="11" t="n">
        <v>13</v>
      </c>
      <c r="H456" s="11" t="n">
        <v>9.5</v>
      </c>
      <c r="I456" s="12" t="n">
        <v>25</v>
      </c>
      <c r="J456" s="11" t="n">
        <v>57.6</v>
      </c>
      <c r="K456" s="13" t="n">
        <v>53.2</v>
      </c>
      <c r="L456" s="2" t="s">
        <v>87</v>
      </c>
      <c r="M456" s="14" t="n">
        <v>457</v>
      </c>
      <c r="N456" s="2" t="s">
        <v>80</v>
      </c>
      <c r="O456" s="14" t="n">
        <f aca="false">IFERROR(M456/I456,"")</f>
        <v>18.28</v>
      </c>
    </row>
    <row r="457" customFormat="false" ht="15" hidden="false" customHeight="false" outlineLevel="0" collapsed="false">
      <c r="A457" s="2" t="s">
        <v>867</v>
      </c>
      <c r="B457" s="2" t="s">
        <v>165</v>
      </c>
      <c r="C457" s="2" t="s">
        <v>68</v>
      </c>
      <c r="D457" s="2" t="s">
        <v>69</v>
      </c>
      <c r="E457" s="2" t="s">
        <v>107</v>
      </c>
      <c r="F457" s="2" t="s">
        <v>404</v>
      </c>
      <c r="G457" s="11" t="n">
        <v>57.1</v>
      </c>
      <c r="H457" s="11" t="n">
        <v>19.5</v>
      </c>
      <c r="I457" s="12" t="n">
        <v>10</v>
      </c>
      <c r="J457" s="11" t="n">
        <v>174.1</v>
      </c>
      <c r="K457" s="13" t="n">
        <v>76.4</v>
      </c>
      <c r="L457" s="2" t="s">
        <v>72</v>
      </c>
      <c r="M457" s="14" t="n">
        <v>2930</v>
      </c>
      <c r="N457" s="2" t="s">
        <v>135</v>
      </c>
      <c r="O457" s="14" t="n">
        <f aca="false">IFERROR(M457/I457,"")</f>
        <v>293</v>
      </c>
    </row>
    <row r="458" customFormat="false" ht="15" hidden="false" customHeight="false" outlineLevel="0" collapsed="false">
      <c r="A458" s="2" t="s">
        <v>868</v>
      </c>
      <c r="B458" s="2" t="s">
        <v>119</v>
      </c>
      <c r="C458" s="2" t="s">
        <v>102</v>
      </c>
      <c r="D458" s="2" t="s">
        <v>77</v>
      </c>
      <c r="E458" s="2" t="s">
        <v>90</v>
      </c>
      <c r="F458" s="2" t="s">
        <v>869</v>
      </c>
      <c r="G458" s="11" t="n">
        <v>28.6</v>
      </c>
      <c r="H458" s="11" t="n">
        <v>26.9</v>
      </c>
      <c r="I458" s="12" t="n">
        <v>12</v>
      </c>
      <c r="J458" s="11" t="n">
        <v>89</v>
      </c>
      <c r="K458" s="13" t="n">
        <v>87</v>
      </c>
      <c r="L458" s="2" t="s">
        <v>104</v>
      </c>
      <c r="M458" s="14" t="n">
        <v>9721</v>
      </c>
      <c r="N458" s="2" t="s">
        <v>135</v>
      </c>
      <c r="O458" s="14" t="n">
        <f aca="false">IFERROR(M458/I458,"")</f>
        <v>810.083333333333</v>
      </c>
    </row>
    <row r="459" customFormat="false" ht="15" hidden="false" customHeight="false" outlineLevel="0" collapsed="false">
      <c r="A459" s="2" t="s">
        <v>870</v>
      </c>
      <c r="B459" s="2" t="s">
        <v>192</v>
      </c>
      <c r="C459" s="2" t="s">
        <v>126</v>
      </c>
      <c r="D459" s="2" t="s">
        <v>69</v>
      </c>
      <c r="E459" s="2" t="s">
        <v>78</v>
      </c>
      <c r="F459" s="2" t="s">
        <v>871</v>
      </c>
      <c r="G459" s="11" t="n">
        <v>450.1</v>
      </c>
      <c r="H459" s="11" t="n">
        <v>652.8</v>
      </c>
      <c r="I459" s="12" t="n">
        <v>7</v>
      </c>
      <c r="J459" s="11" t="n">
        <v>678.9</v>
      </c>
      <c r="K459" s="13" t="n">
        <v>58.7</v>
      </c>
      <c r="L459" s="2" t="s">
        <v>109</v>
      </c>
      <c r="M459" s="14" t="n">
        <v>157120</v>
      </c>
      <c r="N459" s="2" t="s">
        <v>73</v>
      </c>
      <c r="O459" s="14" t="n">
        <f aca="false">IFERROR(M459/I459,"")</f>
        <v>22445.7142857143</v>
      </c>
    </row>
    <row r="460" customFormat="false" ht="15" hidden="false" customHeight="false" outlineLevel="0" collapsed="false">
      <c r="A460" s="2" t="s">
        <v>872</v>
      </c>
      <c r="B460" s="2" t="s">
        <v>89</v>
      </c>
      <c r="C460" s="2" t="s">
        <v>83</v>
      </c>
      <c r="D460" s="2" t="s">
        <v>77</v>
      </c>
      <c r="E460" s="2" t="s">
        <v>70</v>
      </c>
      <c r="F460" s="2" t="s">
        <v>873</v>
      </c>
      <c r="G460" s="11" t="n">
        <v>15.3</v>
      </c>
      <c r="H460" s="11" t="n">
        <v>8.7</v>
      </c>
      <c r="I460" s="12" t="n">
        <v>7</v>
      </c>
      <c r="J460" s="11" t="n">
        <v>15.7</v>
      </c>
      <c r="K460" s="13" t="n">
        <v>59.3</v>
      </c>
      <c r="L460" s="2" t="s">
        <v>104</v>
      </c>
      <c r="M460" s="14" t="n">
        <v>491</v>
      </c>
      <c r="N460" s="2" t="s">
        <v>73</v>
      </c>
      <c r="O460" s="14" t="n">
        <f aca="false">IFERROR(M460/I460,"")</f>
        <v>70.1428571428571</v>
      </c>
    </row>
    <row r="461" customFormat="false" ht="15" hidden="false" customHeight="false" outlineLevel="0" collapsed="false">
      <c r="A461" s="2" t="s">
        <v>874</v>
      </c>
      <c r="B461" s="2" t="s">
        <v>67</v>
      </c>
      <c r="C461" s="2" t="s">
        <v>68</v>
      </c>
      <c r="D461" s="2" t="s">
        <v>69</v>
      </c>
      <c r="E461" s="2" t="s">
        <v>85</v>
      </c>
      <c r="F461" s="2" t="s">
        <v>802</v>
      </c>
      <c r="G461" s="11" t="n">
        <v>65.7</v>
      </c>
      <c r="H461" s="11" t="n">
        <v>19.8</v>
      </c>
      <c r="I461" s="12" t="n">
        <v>22</v>
      </c>
      <c r="J461" s="11" t="n">
        <v>275.5</v>
      </c>
      <c r="K461" s="13" t="n">
        <v>85.7</v>
      </c>
      <c r="L461" s="2" t="s">
        <v>87</v>
      </c>
      <c r="M461" s="14" t="n">
        <v>2585</v>
      </c>
      <c r="N461" s="2" t="s">
        <v>135</v>
      </c>
      <c r="O461" s="14" t="n">
        <f aca="false">IFERROR(M461/I461,"")</f>
        <v>117.5</v>
      </c>
    </row>
    <row r="462" customFormat="false" ht="15" hidden="false" customHeight="false" outlineLevel="0" collapsed="false">
      <c r="A462" s="2" t="s">
        <v>875</v>
      </c>
      <c r="B462" s="2" t="s">
        <v>96</v>
      </c>
      <c r="C462" s="2" t="s">
        <v>97</v>
      </c>
      <c r="D462" s="2" t="s">
        <v>130</v>
      </c>
      <c r="E462" s="2" t="s">
        <v>78</v>
      </c>
      <c r="F462" s="2" t="s">
        <v>131</v>
      </c>
      <c r="G462" s="11" t="n">
        <v>26.1</v>
      </c>
      <c r="H462" s="11" t="n">
        <v>38.6</v>
      </c>
      <c r="I462" s="12" t="n">
        <v>13</v>
      </c>
      <c r="J462" s="11" t="n">
        <v>98.9</v>
      </c>
      <c r="K462" s="13" t="n">
        <v>68.3</v>
      </c>
      <c r="L462" s="2" t="s">
        <v>104</v>
      </c>
      <c r="M462" s="14" t="n">
        <v>14135</v>
      </c>
      <c r="N462" s="2" t="s">
        <v>73</v>
      </c>
      <c r="O462" s="14" t="n">
        <f aca="false">IFERROR(M462/I462,"")</f>
        <v>1087.30769230769</v>
      </c>
    </row>
    <row r="463" customFormat="false" ht="15" hidden="false" customHeight="false" outlineLevel="0" collapsed="false">
      <c r="A463" s="2" t="s">
        <v>876</v>
      </c>
      <c r="B463" s="2" t="s">
        <v>75</v>
      </c>
      <c r="C463" s="2" t="s">
        <v>76</v>
      </c>
      <c r="D463" s="2" t="s">
        <v>130</v>
      </c>
      <c r="E463" s="2" t="s">
        <v>107</v>
      </c>
      <c r="F463" s="2" t="s">
        <v>540</v>
      </c>
      <c r="G463" s="11" t="n">
        <v>37.8</v>
      </c>
      <c r="H463" s="11" t="n">
        <v>18.9</v>
      </c>
      <c r="I463" s="12" t="n">
        <v>25</v>
      </c>
      <c r="J463" s="11" t="n">
        <v>147.8</v>
      </c>
      <c r="K463" s="13" t="n">
        <v>65.3</v>
      </c>
      <c r="L463" s="2" t="s">
        <v>72</v>
      </c>
      <c r="M463" s="14" t="n">
        <v>19691</v>
      </c>
      <c r="N463" s="2" t="s">
        <v>73</v>
      </c>
      <c r="O463" s="14" t="n">
        <f aca="false">IFERROR(M463/I463,"")</f>
        <v>787.64</v>
      </c>
    </row>
    <row r="464" customFormat="false" ht="15" hidden="false" customHeight="false" outlineLevel="0" collapsed="false">
      <c r="A464" s="2" t="s">
        <v>877</v>
      </c>
      <c r="B464" s="2" t="s">
        <v>119</v>
      </c>
      <c r="C464" s="2" t="s">
        <v>102</v>
      </c>
      <c r="D464" s="2" t="s">
        <v>127</v>
      </c>
      <c r="E464" s="2" t="s">
        <v>70</v>
      </c>
      <c r="F464" s="2" t="s">
        <v>878</v>
      </c>
      <c r="G464" s="11" t="n">
        <v>40.5</v>
      </c>
      <c r="H464" s="11" t="n">
        <v>20</v>
      </c>
      <c r="I464" s="12" t="n">
        <v>4</v>
      </c>
      <c r="J464" s="11" t="n">
        <v>32.3</v>
      </c>
      <c r="K464" s="13" t="n">
        <v>83.9</v>
      </c>
      <c r="L464" s="2" t="s">
        <v>104</v>
      </c>
      <c r="M464" s="14" t="n">
        <v>8532</v>
      </c>
      <c r="N464" s="2" t="s">
        <v>135</v>
      </c>
      <c r="O464" s="14" t="n">
        <f aca="false">IFERROR(M464/I464,"")</f>
        <v>2133</v>
      </c>
    </row>
    <row r="465" customFormat="false" ht="15" hidden="false" customHeight="false" outlineLevel="0" collapsed="false">
      <c r="A465" s="2" t="s">
        <v>879</v>
      </c>
      <c r="B465" s="2" t="s">
        <v>93</v>
      </c>
      <c r="C465" s="2" t="s">
        <v>83</v>
      </c>
      <c r="D465" s="2" t="s">
        <v>77</v>
      </c>
      <c r="E465" s="2" t="s">
        <v>78</v>
      </c>
      <c r="F465" s="2" t="s">
        <v>880</v>
      </c>
      <c r="G465" s="11" t="n">
        <v>11.9</v>
      </c>
      <c r="H465" s="11" t="n">
        <v>9.3</v>
      </c>
      <c r="I465" s="12" t="n">
        <v>41</v>
      </c>
      <c r="J465" s="11" t="n">
        <v>94.5</v>
      </c>
      <c r="K465" s="13" t="n">
        <v>45.3</v>
      </c>
      <c r="L465" s="2" t="s">
        <v>72</v>
      </c>
      <c r="M465" s="14" t="n">
        <v>321</v>
      </c>
      <c r="N465" s="2" t="s">
        <v>73</v>
      </c>
      <c r="O465" s="14" t="n">
        <f aca="false">IFERROR(M465/I465,"")</f>
        <v>7.82926829268293</v>
      </c>
    </row>
    <row r="466" customFormat="false" ht="15" hidden="false" customHeight="false" outlineLevel="0" collapsed="false">
      <c r="A466" s="2" t="s">
        <v>881</v>
      </c>
      <c r="B466" s="2" t="s">
        <v>93</v>
      </c>
      <c r="C466" s="2" t="s">
        <v>83</v>
      </c>
      <c r="D466" s="2" t="s">
        <v>77</v>
      </c>
      <c r="E466" s="2" t="s">
        <v>90</v>
      </c>
      <c r="F466" s="2" t="s">
        <v>762</v>
      </c>
      <c r="G466" s="11" t="n">
        <v>12.3</v>
      </c>
      <c r="H466" s="11" t="n">
        <v>8.4</v>
      </c>
      <c r="I466" s="12" t="n">
        <v>17</v>
      </c>
      <c r="J466" s="11" t="n">
        <v>51.7</v>
      </c>
      <c r="K466" s="13" t="n">
        <v>59.1</v>
      </c>
      <c r="L466" s="2" t="s">
        <v>72</v>
      </c>
      <c r="M466" s="14" t="n">
        <v>553</v>
      </c>
      <c r="N466" s="2" t="s">
        <v>135</v>
      </c>
      <c r="O466" s="14" t="n">
        <f aca="false">IFERROR(M466/I466,"")</f>
        <v>32.5294117647059</v>
      </c>
    </row>
    <row r="467" customFormat="false" ht="15" hidden="false" customHeight="false" outlineLevel="0" collapsed="false">
      <c r="A467" s="2" t="s">
        <v>882</v>
      </c>
      <c r="B467" s="2" t="s">
        <v>67</v>
      </c>
      <c r="C467" s="2" t="s">
        <v>68</v>
      </c>
      <c r="D467" s="2" t="s">
        <v>77</v>
      </c>
      <c r="E467" s="2" t="s">
        <v>116</v>
      </c>
      <c r="F467" s="2" t="s">
        <v>883</v>
      </c>
      <c r="G467" s="11" t="n">
        <v>52.6</v>
      </c>
      <c r="H467" s="11" t="n">
        <v>13.9</v>
      </c>
      <c r="I467" s="12" t="n">
        <v>9</v>
      </c>
      <c r="J467" s="11" t="n">
        <v>123.9</v>
      </c>
      <c r="K467" s="13" t="n">
        <v>80.6</v>
      </c>
      <c r="L467" s="2" t="s">
        <v>104</v>
      </c>
      <c r="M467" s="14" t="n">
        <v>2988</v>
      </c>
      <c r="N467" s="2" t="s">
        <v>138</v>
      </c>
      <c r="O467" s="14" t="n">
        <f aca="false">IFERROR(M467/I467,"")</f>
        <v>332</v>
      </c>
    </row>
    <row r="468" customFormat="false" ht="15" hidden="false" customHeight="false" outlineLevel="0" collapsed="false">
      <c r="A468" s="2" t="s">
        <v>884</v>
      </c>
      <c r="B468" s="2" t="s">
        <v>82</v>
      </c>
      <c r="C468" s="2" t="s">
        <v>83</v>
      </c>
      <c r="D468" s="2" t="s">
        <v>77</v>
      </c>
      <c r="E468" s="2" t="s">
        <v>98</v>
      </c>
      <c r="F468" s="2" t="s">
        <v>565</v>
      </c>
      <c r="G468" s="11" t="n">
        <v>11.8</v>
      </c>
      <c r="H468" s="11" t="n">
        <v>10.1</v>
      </c>
      <c r="I468" s="12" t="n">
        <v>14</v>
      </c>
      <c r="J468" s="11" t="n">
        <v>25.6</v>
      </c>
      <c r="K468" s="13" t="n">
        <v>53</v>
      </c>
      <c r="L468" s="2" t="s">
        <v>87</v>
      </c>
      <c r="M468" s="14" t="n">
        <v>733</v>
      </c>
      <c r="N468" s="2" t="s">
        <v>138</v>
      </c>
      <c r="O468" s="14" t="n">
        <f aca="false">IFERROR(M468/I468,"")</f>
        <v>52.3571428571429</v>
      </c>
    </row>
    <row r="469" customFormat="false" ht="15" hidden="false" customHeight="false" outlineLevel="0" collapsed="false">
      <c r="A469" s="2" t="s">
        <v>885</v>
      </c>
      <c r="B469" s="2" t="s">
        <v>111</v>
      </c>
      <c r="C469" s="2" t="s">
        <v>76</v>
      </c>
      <c r="D469" s="2" t="s">
        <v>77</v>
      </c>
      <c r="E469" s="2" t="s">
        <v>70</v>
      </c>
      <c r="F469" s="2" t="s">
        <v>886</v>
      </c>
      <c r="G469" s="11" t="n">
        <v>50.4</v>
      </c>
      <c r="H469" s="11" t="n">
        <v>23.5</v>
      </c>
      <c r="I469" s="12" t="n">
        <v>10</v>
      </c>
      <c r="J469" s="11" t="n">
        <v>135.7</v>
      </c>
      <c r="K469" s="13" t="n">
        <v>66.3</v>
      </c>
      <c r="L469" s="2" t="s">
        <v>72</v>
      </c>
      <c r="M469" s="14" t="n">
        <v>25306</v>
      </c>
      <c r="N469" s="2" t="s">
        <v>73</v>
      </c>
      <c r="O469" s="14" t="n">
        <f aca="false">IFERROR(M469/I469,"")</f>
        <v>2530.6</v>
      </c>
    </row>
    <row r="470" customFormat="false" ht="15" hidden="false" customHeight="false" outlineLevel="0" collapsed="false">
      <c r="A470" s="2" t="s">
        <v>887</v>
      </c>
      <c r="B470" s="2" t="s">
        <v>106</v>
      </c>
      <c r="C470" s="2" t="s">
        <v>68</v>
      </c>
      <c r="D470" s="2" t="s">
        <v>84</v>
      </c>
      <c r="E470" s="2" t="s">
        <v>78</v>
      </c>
      <c r="F470" s="2" t="s">
        <v>687</v>
      </c>
      <c r="G470" s="11" t="n">
        <v>62.3</v>
      </c>
      <c r="H470" s="11" t="n">
        <v>22</v>
      </c>
      <c r="I470" s="12" t="n">
        <v>11</v>
      </c>
      <c r="J470" s="11" t="n">
        <v>89</v>
      </c>
      <c r="K470" s="13" t="n">
        <v>80</v>
      </c>
      <c r="L470" s="2" t="s">
        <v>104</v>
      </c>
      <c r="M470" s="14" t="n">
        <v>3886</v>
      </c>
      <c r="N470" s="2" t="s">
        <v>80</v>
      </c>
      <c r="O470" s="14" t="n">
        <f aca="false">IFERROR(M470/I470,"")</f>
        <v>353.272727272727</v>
      </c>
    </row>
    <row r="471" customFormat="false" ht="15" hidden="false" customHeight="false" outlineLevel="0" collapsed="false">
      <c r="A471" s="2" t="s">
        <v>888</v>
      </c>
      <c r="B471" s="2" t="s">
        <v>89</v>
      </c>
      <c r="C471" s="2" t="s">
        <v>83</v>
      </c>
      <c r="D471" s="2" t="s">
        <v>77</v>
      </c>
      <c r="E471" s="2" t="s">
        <v>78</v>
      </c>
      <c r="F471" s="2" t="s">
        <v>889</v>
      </c>
      <c r="G471" s="11" t="n">
        <v>9.7</v>
      </c>
      <c r="H471" s="11" t="n">
        <v>8.9</v>
      </c>
      <c r="I471" s="12" t="n">
        <v>13</v>
      </c>
      <c r="J471" s="11" t="n">
        <v>40.2</v>
      </c>
      <c r="K471" s="13" t="n">
        <v>68</v>
      </c>
      <c r="L471" s="2" t="s">
        <v>104</v>
      </c>
      <c r="M471" s="14" t="n">
        <v>411</v>
      </c>
      <c r="N471" s="2" t="s">
        <v>80</v>
      </c>
      <c r="O471" s="14" t="n">
        <f aca="false">IFERROR(M471/I471,"")</f>
        <v>31.6153846153846</v>
      </c>
    </row>
    <row r="472" customFormat="false" ht="15" hidden="false" customHeight="false" outlineLevel="0" collapsed="false">
      <c r="A472" s="2" t="s">
        <v>890</v>
      </c>
      <c r="B472" s="2" t="s">
        <v>82</v>
      </c>
      <c r="C472" s="2" t="s">
        <v>83</v>
      </c>
      <c r="D472" s="2" t="s">
        <v>77</v>
      </c>
      <c r="E472" s="2" t="s">
        <v>85</v>
      </c>
      <c r="F472" s="2" t="s">
        <v>730</v>
      </c>
      <c r="G472" s="11" t="n">
        <v>9.8</v>
      </c>
      <c r="H472" s="11" t="n">
        <v>9.1</v>
      </c>
      <c r="I472" s="12" t="n">
        <v>16</v>
      </c>
      <c r="J472" s="11" t="n">
        <v>25.5</v>
      </c>
      <c r="K472" s="13" t="n">
        <v>53.3</v>
      </c>
      <c r="L472" s="2" t="s">
        <v>104</v>
      </c>
      <c r="M472" s="14" t="n">
        <v>743</v>
      </c>
      <c r="N472" s="2" t="s">
        <v>135</v>
      </c>
      <c r="O472" s="14" t="n">
        <f aca="false">IFERROR(M472/I472,"")</f>
        <v>46.4375</v>
      </c>
    </row>
    <row r="473" customFormat="false" ht="15" hidden="false" customHeight="false" outlineLevel="0" collapsed="false">
      <c r="A473" s="2" t="s">
        <v>891</v>
      </c>
      <c r="B473" s="2" t="s">
        <v>111</v>
      </c>
      <c r="C473" s="2" t="s">
        <v>76</v>
      </c>
      <c r="D473" s="2" t="s">
        <v>84</v>
      </c>
      <c r="E473" s="2" t="s">
        <v>98</v>
      </c>
      <c r="F473" s="2" t="s">
        <v>892</v>
      </c>
      <c r="G473" s="11" t="n">
        <v>38.2</v>
      </c>
      <c r="H473" s="11" t="n">
        <v>16.9</v>
      </c>
      <c r="I473" s="12" t="n">
        <v>5</v>
      </c>
      <c r="J473" s="11" t="n">
        <v>17.4</v>
      </c>
      <c r="K473" s="13" t="n">
        <v>62.1</v>
      </c>
      <c r="L473" s="2" t="s">
        <v>104</v>
      </c>
      <c r="M473" s="14" t="n">
        <v>26542</v>
      </c>
      <c r="N473" s="2" t="s">
        <v>135</v>
      </c>
      <c r="O473" s="14" t="n">
        <f aca="false">IFERROR(M473/I473,"")</f>
        <v>5308.4</v>
      </c>
    </row>
    <row r="474" customFormat="false" ht="15" hidden="false" customHeight="false" outlineLevel="0" collapsed="false">
      <c r="A474" s="2" t="s">
        <v>893</v>
      </c>
      <c r="B474" s="2" t="s">
        <v>106</v>
      </c>
      <c r="C474" s="2" t="s">
        <v>68</v>
      </c>
      <c r="D474" s="2" t="s">
        <v>84</v>
      </c>
      <c r="E474" s="2" t="s">
        <v>98</v>
      </c>
      <c r="F474" s="2" t="s">
        <v>894</v>
      </c>
      <c r="G474" s="11" t="n">
        <v>58.8</v>
      </c>
      <c r="H474" s="11" t="n">
        <v>22.1</v>
      </c>
      <c r="I474" s="12" t="n">
        <v>10</v>
      </c>
      <c r="J474" s="11" t="n">
        <v>133</v>
      </c>
      <c r="K474" s="13" t="n">
        <v>80.1</v>
      </c>
      <c r="L474" s="2" t="s">
        <v>87</v>
      </c>
      <c r="M474" s="14" t="n">
        <v>2969</v>
      </c>
      <c r="N474" s="2" t="s">
        <v>73</v>
      </c>
      <c r="O474" s="14" t="n">
        <f aca="false">IFERROR(M474/I474,"")</f>
        <v>296.9</v>
      </c>
    </row>
    <row r="475" customFormat="false" ht="15" hidden="false" customHeight="false" outlineLevel="0" collapsed="false">
      <c r="A475" s="2" t="s">
        <v>895</v>
      </c>
      <c r="B475" s="2" t="s">
        <v>119</v>
      </c>
      <c r="C475" s="2" t="s">
        <v>102</v>
      </c>
      <c r="D475" s="2" t="s">
        <v>77</v>
      </c>
      <c r="E475" s="2" t="s">
        <v>70</v>
      </c>
      <c r="F475" s="2" t="s">
        <v>896</v>
      </c>
      <c r="G475" s="11" t="n">
        <v>39.4</v>
      </c>
      <c r="H475" s="11" t="n">
        <v>27.5</v>
      </c>
      <c r="I475" s="12" t="n">
        <v>13</v>
      </c>
      <c r="J475" s="11" t="n">
        <v>75.2</v>
      </c>
      <c r="K475" s="13" t="n">
        <v>75.9</v>
      </c>
      <c r="L475" s="2" t="s">
        <v>104</v>
      </c>
      <c r="M475" s="14" t="n">
        <v>8845</v>
      </c>
      <c r="N475" s="2" t="s">
        <v>135</v>
      </c>
      <c r="O475" s="14" t="n">
        <f aca="false">IFERROR(M475/I475,"")</f>
        <v>680.384615384615</v>
      </c>
    </row>
    <row r="476" customFormat="false" ht="15" hidden="false" customHeight="false" outlineLevel="0" collapsed="false">
      <c r="A476" s="2" t="s">
        <v>897</v>
      </c>
      <c r="B476" s="2" t="s">
        <v>82</v>
      </c>
      <c r="C476" s="2" t="s">
        <v>83</v>
      </c>
      <c r="D476" s="2" t="s">
        <v>122</v>
      </c>
      <c r="E476" s="2" t="s">
        <v>78</v>
      </c>
      <c r="F476" s="2" t="s">
        <v>898</v>
      </c>
      <c r="G476" s="11" t="n">
        <v>16.8</v>
      </c>
      <c r="H476" s="11" t="n">
        <v>10.3</v>
      </c>
      <c r="I476" s="12" t="n">
        <v>14</v>
      </c>
      <c r="J476" s="11" t="n">
        <v>22.4</v>
      </c>
      <c r="K476" s="13" t="n">
        <v>53.7</v>
      </c>
      <c r="L476" s="2" t="s">
        <v>72</v>
      </c>
      <c r="M476" s="14" t="n">
        <v>693</v>
      </c>
      <c r="N476" s="2" t="s">
        <v>80</v>
      </c>
      <c r="O476" s="14" t="n">
        <f aca="false">IFERROR(M476/I476,"")</f>
        <v>49.5</v>
      </c>
    </row>
    <row r="477" customFormat="false" ht="15" hidden="false" customHeight="false" outlineLevel="0" collapsed="false">
      <c r="A477" s="2" t="s">
        <v>899</v>
      </c>
      <c r="B477" s="2" t="s">
        <v>96</v>
      </c>
      <c r="C477" s="2" t="s">
        <v>97</v>
      </c>
      <c r="D477" s="2" t="s">
        <v>127</v>
      </c>
      <c r="E477" s="2" t="s">
        <v>70</v>
      </c>
      <c r="F477" s="2" t="s">
        <v>900</v>
      </c>
      <c r="G477" s="11" t="n">
        <v>29.1</v>
      </c>
      <c r="H477" s="11" t="n">
        <v>33.6</v>
      </c>
      <c r="I477" s="12" t="n">
        <v>13</v>
      </c>
      <c r="J477" s="11" t="n">
        <v>86.8</v>
      </c>
      <c r="K477" s="13" t="n">
        <v>57.7</v>
      </c>
      <c r="L477" s="2" t="s">
        <v>109</v>
      </c>
      <c r="M477" s="14" t="n">
        <v>12829</v>
      </c>
      <c r="N477" s="2" t="s">
        <v>73</v>
      </c>
      <c r="O477" s="14" t="n">
        <f aca="false">IFERROR(M477/I477,"")</f>
        <v>986.846153846154</v>
      </c>
    </row>
    <row r="478" customFormat="false" ht="15" hidden="false" customHeight="false" outlineLevel="0" collapsed="false">
      <c r="A478" s="2" t="s">
        <v>901</v>
      </c>
      <c r="B478" s="2" t="s">
        <v>133</v>
      </c>
      <c r="C478" s="2" t="s">
        <v>97</v>
      </c>
      <c r="D478" s="2" t="s">
        <v>69</v>
      </c>
      <c r="E478" s="2" t="s">
        <v>70</v>
      </c>
      <c r="F478" s="2" t="s">
        <v>756</v>
      </c>
      <c r="G478" s="11" t="n">
        <v>23.8</v>
      </c>
      <c r="H478" s="11" t="n">
        <v>34.7</v>
      </c>
      <c r="I478" s="12" t="n">
        <v>7</v>
      </c>
      <c r="J478" s="11" t="n">
        <v>41.6</v>
      </c>
      <c r="K478" s="13" t="n">
        <v>56.3</v>
      </c>
      <c r="L478" s="2" t="s">
        <v>72</v>
      </c>
      <c r="M478" s="14" t="n">
        <v>14193</v>
      </c>
      <c r="N478" s="2" t="s">
        <v>80</v>
      </c>
      <c r="O478" s="14" t="n">
        <f aca="false">IFERROR(M478/I478,"")</f>
        <v>2027.57142857143</v>
      </c>
    </row>
    <row r="479" customFormat="false" ht="15" hidden="false" customHeight="false" outlineLevel="0" collapsed="false">
      <c r="A479" s="2" t="s">
        <v>902</v>
      </c>
      <c r="B479" s="2" t="s">
        <v>101</v>
      </c>
      <c r="C479" s="2" t="s">
        <v>102</v>
      </c>
      <c r="D479" s="2" t="s">
        <v>77</v>
      </c>
      <c r="E479" s="2" t="s">
        <v>78</v>
      </c>
      <c r="F479" s="2" t="s">
        <v>240</v>
      </c>
      <c r="G479" s="11" t="n">
        <v>38.1</v>
      </c>
      <c r="H479" s="11" t="n">
        <v>26.3</v>
      </c>
      <c r="I479" s="12" t="n">
        <v>6</v>
      </c>
      <c r="J479" s="11" t="n">
        <v>48.1</v>
      </c>
      <c r="K479" s="13" t="n">
        <v>78.5</v>
      </c>
      <c r="L479" s="2" t="s">
        <v>72</v>
      </c>
      <c r="M479" s="14" t="n">
        <v>7190</v>
      </c>
      <c r="N479" s="2" t="s">
        <v>73</v>
      </c>
      <c r="O479" s="14" t="n">
        <f aca="false">IFERROR(M479/I479,"")</f>
        <v>1198.33333333333</v>
      </c>
    </row>
    <row r="480" customFormat="false" ht="15" hidden="false" customHeight="false" outlineLevel="0" collapsed="false">
      <c r="A480" s="2" t="s">
        <v>903</v>
      </c>
      <c r="B480" s="2" t="s">
        <v>82</v>
      </c>
      <c r="C480" s="2" t="s">
        <v>83</v>
      </c>
      <c r="D480" s="2" t="s">
        <v>84</v>
      </c>
      <c r="E480" s="2" t="s">
        <v>107</v>
      </c>
      <c r="F480" s="2" t="s">
        <v>904</v>
      </c>
      <c r="G480" s="11" t="n">
        <v>11.7</v>
      </c>
      <c r="H480" s="11" t="n">
        <v>7.9</v>
      </c>
      <c r="I480" s="12" t="n">
        <v>6</v>
      </c>
      <c r="J480" s="11" t="n">
        <v>6.6</v>
      </c>
      <c r="K480" s="13" t="n">
        <v>37.5</v>
      </c>
      <c r="L480" s="2" t="s">
        <v>109</v>
      </c>
      <c r="M480" s="14" t="n">
        <v>662</v>
      </c>
      <c r="N480" s="2" t="s">
        <v>73</v>
      </c>
      <c r="O480" s="14" t="n">
        <f aca="false">IFERROR(M480/I480,"")</f>
        <v>110.333333333333</v>
      </c>
    </row>
    <row r="481" customFormat="false" ht="15" hidden="false" customHeight="false" outlineLevel="0" collapsed="false">
      <c r="A481" s="2" t="s">
        <v>905</v>
      </c>
      <c r="B481" s="2" t="s">
        <v>133</v>
      </c>
      <c r="C481" s="2" t="s">
        <v>97</v>
      </c>
      <c r="D481" s="2" t="s">
        <v>77</v>
      </c>
      <c r="E481" s="2" t="s">
        <v>90</v>
      </c>
      <c r="F481" s="2" t="s">
        <v>206</v>
      </c>
      <c r="G481" s="11" t="n">
        <v>24.7</v>
      </c>
      <c r="H481" s="11" t="n">
        <v>30.6</v>
      </c>
      <c r="I481" s="12" t="n">
        <v>11</v>
      </c>
      <c r="J481" s="11" t="n">
        <v>66.7</v>
      </c>
      <c r="K481" s="13" t="n">
        <v>59</v>
      </c>
      <c r="L481" s="2" t="s">
        <v>72</v>
      </c>
      <c r="M481" s="14" t="n">
        <v>13543</v>
      </c>
      <c r="N481" s="2" t="s">
        <v>135</v>
      </c>
      <c r="O481" s="14" t="n">
        <f aca="false">IFERROR(M481/I481,"")</f>
        <v>1231.18181818182</v>
      </c>
    </row>
    <row r="482" customFormat="false" ht="15" hidden="false" customHeight="false" outlineLevel="0" collapsed="false">
      <c r="A482" s="2" t="s">
        <v>906</v>
      </c>
      <c r="B482" s="2" t="s">
        <v>89</v>
      </c>
      <c r="C482" s="2" t="s">
        <v>83</v>
      </c>
      <c r="D482" s="2" t="s">
        <v>127</v>
      </c>
      <c r="E482" s="2" t="s">
        <v>78</v>
      </c>
      <c r="F482" s="2" t="s">
        <v>282</v>
      </c>
      <c r="G482" s="11" t="n">
        <v>10.8</v>
      </c>
      <c r="H482" s="11" t="n">
        <v>11.9</v>
      </c>
      <c r="I482" s="12" t="n">
        <v>48</v>
      </c>
      <c r="J482" s="11" t="n">
        <v>27.7</v>
      </c>
      <c r="K482" s="13" t="n">
        <v>36.5</v>
      </c>
      <c r="L482" s="2" t="s">
        <v>109</v>
      </c>
      <c r="M482" s="14" t="n">
        <v>675</v>
      </c>
      <c r="N482" s="2" t="s">
        <v>73</v>
      </c>
      <c r="O482" s="14" t="n">
        <f aca="false">IFERROR(M482/I482,"")</f>
        <v>14.0625</v>
      </c>
    </row>
    <row r="483" customFormat="false" ht="15" hidden="false" customHeight="false" outlineLevel="0" collapsed="false">
      <c r="A483" s="2" t="s">
        <v>907</v>
      </c>
      <c r="B483" s="2" t="s">
        <v>82</v>
      </c>
      <c r="C483" s="2" t="s">
        <v>83</v>
      </c>
      <c r="D483" s="2" t="s">
        <v>130</v>
      </c>
      <c r="E483" s="2" t="s">
        <v>107</v>
      </c>
      <c r="F483" s="2" t="s">
        <v>908</v>
      </c>
      <c r="G483" s="11" t="n">
        <v>12.2</v>
      </c>
      <c r="H483" s="11" t="n">
        <v>9.5</v>
      </c>
      <c r="I483" s="12" t="n">
        <v>37</v>
      </c>
      <c r="J483" s="11" t="n">
        <v>66.2</v>
      </c>
      <c r="K483" s="13" t="n">
        <v>53</v>
      </c>
      <c r="L483" s="2" t="s">
        <v>104</v>
      </c>
      <c r="M483" s="14" t="n">
        <v>865</v>
      </c>
      <c r="N483" s="2" t="s">
        <v>73</v>
      </c>
      <c r="O483" s="14" t="n">
        <f aca="false">IFERROR(M483/I483,"")</f>
        <v>23.3783783783784</v>
      </c>
    </row>
    <row r="484" customFormat="false" ht="15" hidden="false" customHeight="false" outlineLevel="0" collapsed="false">
      <c r="A484" s="2" t="s">
        <v>909</v>
      </c>
      <c r="B484" s="2" t="s">
        <v>106</v>
      </c>
      <c r="C484" s="2" t="s">
        <v>68</v>
      </c>
      <c r="D484" s="2" t="s">
        <v>77</v>
      </c>
      <c r="E484" s="2" t="s">
        <v>78</v>
      </c>
      <c r="F484" s="2" t="s">
        <v>206</v>
      </c>
      <c r="G484" s="11" t="n">
        <v>50.2</v>
      </c>
      <c r="H484" s="11" t="n">
        <v>16</v>
      </c>
      <c r="I484" s="12" t="n">
        <v>31</v>
      </c>
      <c r="J484" s="11" t="n">
        <v>442.8</v>
      </c>
      <c r="K484" s="13" t="n">
        <v>75.3</v>
      </c>
      <c r="L484" s="2" t="s">
        <v>72</v>
      </c>
      <c r="M484" s="14" t="n">
        <v>2806</v>
      </c>
      <c r="N484" s="2" t="s">
        <v>73</v>
      </c>
      <c r="O484" s="14" t="n">
        <f aca="false">IFERROR(M484/I484,"")</f>
        <v>90.5161290322581</v>
      </c>
    </row>
    <row r="485" customFormat="false" ht="15" hidden="false" customHeight="false" outlineLevel="0" collapsed="false">
      <c r="A485" s="2" t="s">
        <v>910</v>
      </c>
      <c r="B485" s="2" t="s">
        <v>93</v>
      </c>
      <c r="C485" s="2" t="s">
        <v>83</v>
      </c>
      <c r="D485" s="2" t="s">
        <v>84</v>
      </c>
      <c r="E485" s="2" t="s">
        <v>98</v>
      </c>
      <c r="F485" s="2" t="s">
        <v>376</v>
      </c>
      <c r="G485" s="11" t="n">
        <v>12.9</v>
      </c>
      <c r="H485" s="11" t="n">
        <v>6.9</v>
      </c>
      <c r="I485" s="12" t="n">
        <v>27</v>
      </c>
      <c r="J485" s="11" t="n">
        <v>55.9</v>
      </c>
      <c r="K485" s="13" t="n">
        <v>66.7</v>
      </c>
      <c r="L485" s="2" t="s">
        <v>87</v>
      </c>
      <c r="M485" s="14" t="n">
        <v>783</v>
      </c>
      <c r="N485" s="2" t="s">
        <v>135</v>
      </c>
      <c r="O485" s="14" t="n">
        <f aca="false">IFERROR(M485/I485,"")</f>
        <v>29</v>
      </c>
    </row>
    <row r="486" customFormat="false" ht="15" hidden="false" customHeight="false" outlineLevel="0" collapsed="false">
      <c r="A486" s="2" t="s">
        <v>911</v>
      </c>
      <c r="B486" s="2" t="s">
        <v>106</v>
      </c>
      <c r="C486" s="2" t="s">
        <v>68</v>
      </c>
      <c r="D486" s="2" t="s">
        <v>77</v>
      </c>
      <c r="E486" s="2" t="s">
        <v>107</v>
      </c>
      <c r="F486" s="2" t="s">
        <v>912</v>
      </c>
      <c r="G486" s="11" t="n">
        <v>68.6</v>
      </c>
      <c r="H486" s="11" t="n">
        <v>14.6</v>
      </c>
      <c r="I486" s="12" t="n">
        <v>7</v>
      </c>
      <c r="J486" s="11" t="n">
        <v>110</v>
      </c>
      <c r="K486" s="13" t="n">
        <v>73.9</v>
      </c>
      <c r="L486" s="2" t="s">
        <v>109</v>
      </c>
      <c r="M486" s="14" t="n">
        <v>3531</v>
      </c>
      <c r="N486" s="2" t="s">
        <v>73</v>
      </c>
      <c r="O486" s="14" t="n">
        <f aca="false">IFERROR(M486/I486,"")</f>
        <v>504.428571428571</v>
      </c>
    </row>
    <row r="487" customFormat="false" ht="15" hidden="false" customHeight="false" outlineLevel="0" collapsed="false">
      <c r="A487" s="2" t="s">
        <v>913</v>
      </c>
      <c r="B487" s="2" t="s">
        <v>101</v>
      </c>
      <c r="C487" s="2" t="s">
        <v>102</v>
      </c>
      <c r="D487" s="2" t="s">
        <v>77</v>
      </c>
      <c r="E487" s="2" t="s">
        <v>90</v>
      </c>
      <c r="F487" s="2" t="s">
        <v>843</v>
      </c>
      <c r="G487" s="11" t="n">
        <v>36.5</v>
      </c>
      <c r="H487" s="11" t="n">
        <v>26.3</v>
      </c>
      <c r="I487" s="12" t="n">
        <v>15</v>
      </c>
      <c r="J487" s="11" t="n">
        <v>92.1</v>
      </c>
      <c r="K487" s="13" t="n">
        <v>93.3</v>
      </c>
      <c r="L487" s="2" t="s">
        <v>104</v>
      </c>
      <c r="M487" s="14" t="n">
        <v>8455</v>
      </c>
      <c r="N487" s="2" t="s">
        <v>73</v>
      </c>
      <c r="O487" s="14" t="n">
        <f aca="false">IFERROR(M487/I487,"")</f>
        <v>563.666666666667</v>
      </c>
    </row>
    <row r="488" customFormat="false" ht="15" hidden="false" customHeight="false" outlineLevel="0" collapsed="false">
      <c r="A488" s="2" t="s">
        <v>914</v>
      </c>
      <c r="B488" s="2" t="s">
        <v>106</v>
      </c>
      <c r="C488" s="2" t="s">
        <v>68</v>
      </c>
      <c r="D488" s="2" t="s">
        <v>122</v>
      </c>
      <c r="E488" s="2" t="s">
        <v>107</v>
      </c>
      <c r="F488" s="2" t="s">
        <v>453</v>
      </c>
      <c r="G488" s="11" t="n">
        <v>57.7</v>
      </c>
      <c r="H488" s="11" t="n">
        <v>15.2</v>
      </c>
      <c r="I488" s="12" t="n">
        <v>15</v>
      </c>
      <c r="J488" s="11" t="n">
        <v>51</v>
      </c>
      <c r="K488" s="13" t="n">
        <v>94.9</v>
      </c>
      <c r="L488" s="2" t="s">
        <v>104</v>
      </c>
      <c r="M488" s="14" t="n">
        <v>2144</v>
      </c>
      <c r="N488" s="2" t="s">
        <v>73</v>
      </c>
      <c r="O488" s="14" t="n">
        <f aca="false">IFERROR(M488/I488,"")</f>
        <v>142.933333333333</v>
      </c>
    </row>
    <row r="489" customFormat="false" ht="15" hidden="false" customHeight="false" outlineLevel="0" collapsed="false">
      <c r="A489" s="2" t="s">
        <v>915</v>
      </c>
      <c r="B489" s="2" t="s">
        <v>89</v>
      </c>
      <c r="C489" s="2" t="s">
        <v>83</v>
      </c>
      <c r="D489" s="2" t="s">
        <v>77</v>
      </c>
      <c r="E489" s="2" t="s">
        <v>107</v>
      </c>
      <c r="F489" s="2" t="s">
        <v>916</v>
      </c>
      <c r="G489" s="11" t="n">
        <v>14.3</v>
      </c>
      <c r="H489" s="11" t="n">
        <v>7.4</v>
      </c>
      <c r="I489" s="12" t="n">
        <v>12</v>
      </c>
      <c r="J489" s="11" t="n">
        <v>42.8</v>
      </c>
      <c r="K489" s="13" t="n">
        <v>42.2</v>
      </c>
      <c r="L489" s="2" t="s">
        <v>109</v>
      </c>
      <c r="M489" s="14" t="n">
        <v>759</v>
      </c>
      <c r="N489" s="2" t="s">
        <v>80</v>
      </c>
      <c r="O489" s="14" t="n">
        <f aca="false">IFERROR(M489/I489,"")</f>
        <v>63.25</v>
      </c>
    </row>
    <row r="490" customFormat="false" ht="15" hidden="false" customHeight="false" outlineLevel="0" collapsed="false">
      <c r="A490" s="2" t="s">
        <v>917</v>
      </c>
      <c r="B490" s="2" t="s">
        <v>96</v>
      </c>
      <c r="C490" s="2" t="s">
        <v>97</v>
      </c>
      <c r="D490" s="2" t="s">
        <v>77</v>
      </c>
      <c r="E490" s="2" t="s">
        <v>78</v>
      </c>
      <c r="F490" s="2" t="s">
        <v>918</v>
      </c>
      <c r="G490" s="11" t="n">
        <v>34.2</v>
      </c>
      <c r="H490" s="11" t="n">
        <v>33.8</v>
      </c>
      <c r="I490" s="12" t="n">
        <v>6</v>
      </c>
      <c r="J490" s="11" t="n">
        <v>43.4</v>
      </c>
      <c r="K490" s="13" t="n">
        <v>71.2</v>
      </c>
      <c r="L490" s="2" t="s">
        <v>104</v>
      </c>
      <c r="M490" s="14" t="n">
        <v>10982</v>
      </c>
      <c r="N490" s="2" t="s">
        <v>80</v>
      </c>
      <c r="O490" s="14" t="n">
        <f aca="false">IFERROR(M490/I490,"")</f>
        <v>1830.33333333333</v>
      </c>
    </row>
    <row r="491" customFormat="false" ht="15" hidden="false" customHeight="false" outlineLevel="0" collapsed="false">
      <c r="A491" s="2" t="s">
        <v>919</v>
      </c>
      <c r="B491" s="2" t="s">
        <v>67</v>
      </c>
      <c r="C491" s="2" t="s">
        <v>68</v>
      </c>
      <c r="D491" s="2" t="s">
        <v>127</v>
      </c>
      <c r="E491" s="2" t="s">
        <v>107</v>
      </c>
      <c r="F491" s="2" t="s">
        <v>920</v>
      </c>
      <c r="G491" s="11" t="n">
        <v>47.7</v>
      </c>
      <c r="H491" s="11" t="n">
        <v>19</v>
      </c>
      <c r="I491" s="12" t="n">
        <v>4</v>
      </c>
      <c r="J491" s="11" t="n">
        <v>13.9</v>
      </c>
      <c r="K491" s="13" t="n">
        <v>85.1</v>
      </c>
      <c r="L491" s="2" t="s">
        <v>72</v>
      </c>
      <c r="M491" s="14" t="n">
        <v>2881</v>
      </c>
      <c r="N491" s="2" t="s">
        <v>138</v>
      </c>
      <c r="O491" s="14" t="n">
        <f aca="false">IFERROR(M491/I491,"")</f>
        <v>720.25</v>
      </c>
    </row>
    <row r="492" customFormat="false" ht="15" hidden="false" customHeight="false" outlineLevel="0" collapsed="false">
      <c r="A492" s="2" t="s">
        <v>921</v>
      </c>
      <c r="B492" s="2" t="s">
        <v>75</v>
      </c>
      <c r="C492" s="2" t="s">
        <v>76</v>
      </c>
      <c r="D492" s="2" t="s">
        <v>84</v>
      </c>
      <c r="E492" s="2" t="s">
        <v>116</v>
      </c>
      <c r="F492" s="2" t="s">
        <v>922</v>
      </c>
      <c r="G492" s="11" t="n">
        <v>46.4</v>
      </c>
      <c r="H492" s="11" t="n">
        <v>26.5</v>
      </c>
      <c r="I492" s="12" t="n">
        <v>6</v>
      </c>
      <c r="J492" s="11" t="n">
        <v>87.5</v>
      </c>
      <c r="K492" s="13" t="n">
        <v>75.4</v>
      </c>
      <c r="L492" s="2" t="s">
        <v>87</v>
      </c>
      <c r="M492" s="14" t="n">
        <v>20769</v>
      </c>
      <c r="N492" s="2" t="s">
        <v>135</v>
      </c>
      <c r="O492" s="14" t="n">
        <f aca="false">IFERROR(M492/I492,"")</f>
        <v>3461.5</v>
      </c>
    </row>
    <row r="493" customFormat="false" ht="15" hidden="false" customHeight="false" outlineLevel="0" collapsed="false">
      <c r="A493" s="2" t="s">
        <v>923</v>
      </c>
      <c r="B493" s="2" t="s">
        <v>93</v>
      </c>
      <c r="C493" s="2" t="s">
        <v>83</v>
      </c>
      <c r="D493" s="2" t="s">
        <v>84</v>
      </c>
      <c r="E493" s="2" t="s">
        <v>98</v>
      </c>
      <c r="F493" s="2" t="s">
        <v>282</v>
      </c>
      <c r="G493" s="11" t="n">
        <v>12.3</v>
      </c>
      <c r="H493" s="11" t="n">
        <v>7.8</v>
      </c>
      <c r="I493" s="12" t="n">
        <v>10</v>
      </c>
      <c r="J493" s="11" t="n">
        <v>5.7</v>
      </c>
      <c r="K493" s="13" t="n">
        <v>68.6</v>
      </c>
      <c r="L493" s="2" t="s">
        <v>87</v>
      </c>
      <c r="M493" s="14" t="n">
        <v>607</v>
      </c>
      <c r="N493" s="2" t="s">
        <v>80</v>
      </c>
      <c r="O493" s="14" t="n">
        <f aca="false">IFERROR(M493/I493,"")</f>
        <v>60.7</v>
      </c>
    </row>
    <row r="494" customFormat="false" ht="15" hidden="false" customHeight="false" outlineLevel="0" collapsed="false">
      <c r="A494" s="2" t="s">
        <v>924</v>
      </c>
      <c r="B494" s="2" t="s">
        <v>125</v>
      </c>
      <c r="C494" s="2" t="s">
        <v>126</v>
      </c>
      <c r="D494" s="2" t="s">
        <v>84</v>
      </c>
      <c r="E494" s="2" t="s">
        <v>90</v>
      </c>
      <c r="F494" s="2" t="s">
        <v>401</v>
      </c>
      <c r="G494" s="11" t="n">
        <v>411.8</v>
      </c>
      <c r="H494" s="11" t="n">
        <v>531.6</v>
      </c>
      <c r="I494" s="12" t="n">
        <v>13</v>
      </c>
      <c r="J494" s="11" t="n">
        <v>478.4</v>
      </c>
      <c r="K494" s="13" t="n">
        <v>73.5</v>
      </c>
      <c r="L494" s="2" t="s">
        <v>72</v>
      </c>
      <c r="M494" s="14" t="n">
        <v>150720</v>
      </c>
      <c r="N494" s="2" t="s">
        <v>73</v>
      </c>
      <c r="O494" s="14" t="n">
        <f aca="false">IFERROR(M494/I494,"")</f>
        <v>11593.8461538462</v>
      </c>
    </row>
    <row r="495" customFormat="false" ht="15" hidden="false" customHeight="false" outlineLevel="0" collapsed="false">
      <c r="A495" s="2" t="s">
        <v>925</v>
      </c>
      <c r="B495" s="2" t="s">
        <v>75</v>
      </c>
      <c r="C495" s="2" t="s">
        <v>76</v>
      </c>
      <c r="D495" s="2" t="s">
        <v>122</v>
      </c>
      <c r="E495" s="2" t="s">
        <v>98</v>
      </c>
      <c r="F495" s="2" t="s">
        <v>926</v>
      </c>
      <c r="G495" s="11" t="n">
        <v>44.9</v>
      </c>
      <c r="H495" s="11" t="n">
        <v>23.2</v>
      </c>
      <c r="I495" s="12" t="n">
        <v>8</v>
      </c>
      <c r="J495" s="11" t="n">
        <v>72.2</v>
      </c>
      <c r="K495" s="13" t="n">
        <v>77.9</v>
      </c>
      <c r="L495" s="2" t="s">
        <v>104</v>
      </c>
      <c r="M495" s="14" t="n">
        <v>27593</v>
      </c>
      <c r="N495" s="2" t="s">
        <v>135</v>
      </c>
      <c r="O495" s="14" t="n">
        <f aca="false">IFERROR(M495/I495,"")</f>
        <v>3449.125</v>
      </c>
    </row>
    <row r="496" customFormat="false" ht="15" hidden="false" customHeight="false" outlineLevel="0" collapsed="false">
      <c r="A496" s="2" t="s">
        <v>927</v>
      </c>
      <c r="B496" s="2" t="s">
        <v>96</v>
      </c>
      <c r="C496" s="2" t="s">
        <v>97</v>
      </c>
      <c r="D496" s="2" t="s">
        <v>84</v>
      </c>
      <c r="E496" s="2" t="s">
        <v>78</v>
      </c>
      <c r="F496" s="2" t="s">
        <v>928</v>
      </c>
      <c r="G496" s="11" t="n">
        <v>22.7</v>
      </c>
      <c r="H496" s="11" t="n">
        <v>32.2</v>
      </c>
      <c r="I496" s="12" t="n">
        <v>11</v>
      </c>
      <c r="J496" s="11" t="n">
        <v>56</v>
      </c>
      <c r="K496" s="13" t="n">
        <v>48.2</v>
      </c>
      <c r="L496" s="2" t="s">
        <v>104</v>
      </c>
      <c r="M496" s="14" t="n">
        <v>15595</v>
      </c>
      <c r="N496" s="2" t="s">
        <v>135</v>
      </c>
      <c r="O496" s="14" t="n">
        <f aca="false">IFERROR(M496/I496,"")</f>
        <v>1417.72727272727</v>
      </c>
    </row>
    <row r="497" customFormat="false" ht="15" hidden="false" customHeight="false" outlineLevel="0" collapsed="false">
      <c r="A497" s="2" t="s">
        <v>929</v>
      </c>
      <c r="B497" s="2" t="s">
        <v>133</v>
      </c>
      <c r="C497" s="2" t="s">
        <v>97</v>
      </c>
      <c r="D497" s="2" t="s">
        <v>84</v>
      </c>
      <c r="E497" s="2" t="s">
        <v>98</v>
      </c>
      <c r="F497" s="2" t="s">
        <v>661</v>
      </c>
      <c r="G497" s="11" t="n">
        <v>26.5</v>
      </c>
      <c r="H497" s="11" t="n">
        <v>39.6</v>
      </c>
      <c r="I497" s="12" t="n">
        <v>17</v>
      </c>
      <c r="J497" s="11" t="n">
        <v>46.5</v>
      </c>
      <c r="K497" s="13" t="n">
        <v>56.4</v>
      </c>
      <c r="L497" s="2" t="s">
        <v>104</v>
      </c>
      <c r="M497" s="14" t="n">
        <v>19983</v>
      </c>
      <c r="N497" s="2" t="s">
        <v>135</v>
      </c>
      <c r="O497" s="14" t="n">
        <f aca="false">IFERROR(M497/I497,"")</f>
        <v>1175.47058823529</v>
      </c>
    </row>
    <row r="498" customFormat="false" ht="15" hidden="false" customHeight="false" outlineLevel="0" collapsed="false">
      <c r="A498" s="2" t="s">
        <v>930</v>
      </c>
      <c r="B498" s="2" t="s">
        <v>111</v>
      </c>
      <c r="C498" s="2" t="s">
        <v>76</v>
      </c>
      <c r="D498" s="2" t="s">
        <v>122</v>
      </c>
      <c r="E498" s="2" t="s">
        <v>98</v>
      </c>
      <c r="F498" s="2" t="s">
        <v>149</v>
      </c>
      <c r="G498" s="11" t="n">
        <v>42</v>
      </c>
      <c r="H498" s="11" t="n">
        <v>20.3</v>
      </c>
      <c r="I498" s="12" t="n">
        <v>14</v>
      </c>
      <c r="J498" s="11" t="n">
        <v>147.4</v>
      </c>
      <c r="K498" s="13" t="n">
        <v>67.4</v>
      </c>
      <c r="L498" s="2" t="s">
        <v>87</v>
      </c>
      <c r="M498" s="14" t="n">
        <v>18934</v>
      </c>
      <c r="N498" s="2" t="s">
        <v>138</v>
      </c>
      <c r="O498" s="14" t="n">
        <f aca="false">IFERROR(M498/I498,"")</f>
        <v>1352.42857142857</v>
      </c>
    </row>
    <row r="499" customFormat="false" ht="15" hidden="false" customHeight="false" outlineLevel="0" collapsed="false">
      <c r="A499" s="2" t="s">
        <v>931</v>
      </c>
      <c r="B499" s="2" t="s">
        <v>93</v>
      </c>
      <c r="C499" s="2" t="s">
        <v>83</v>
      </c>
      <c r="D499" s="2" t="s">
        <v>77</v>
      </c>
      <c r="E499" s="2" t="s">
        <v>90</v>
      </c>
      <c r="F499" s="2" t="s">
        <v>340</v>
      </c>
      <c r="G499" s="11" t="n">
        <v>15</v>
      </c>
      <c r="H499" s="11" t="n">
        <v>7.1</v>
      </c>
      <c r="I499" s="12" t="n">
        <v>9</v>
      </c>
      <c r="J499" s="11" t="n">
        <v>26</v>
      </c>
      <c r="K499" s="13" t="n">
        <v>57.6</v>
      </c>
      <c r="L499" s="2" t="s">
        <v>104</v>
      </c>
      <c r="M499" s="14" t="n">
        <v>554</v>
      </c>
      <c r="N499" s="2" t="s">
        <v>80</v>
      </c>
      <c r="O499" s="14" t="n">
        <f aca="false">IFERROR(M499/I499,"")</f>
        <v>61.5555555555556</v>
      </c>
    </row>
    <row r="500" customFormat="false" ht="15" hidden="false" customHeight="false" outlineLevel="0" collapsed="false">
      <c r="A500" s="2" t="s">
        <v>932</v>
      </c>
      <c r="B500" s="2" t="s">
        <v>67</v>
      </c>
      <c r="C500" s="2" t="s">
        <v>68</v>
      </c>
      <c r="D500" s="2" t="s">
        <v>77</v>
      </c>
      <c r="E500" s="2" t="s">
        <v>85</v>
      </c>
      <c r="F500" s="2" t="s">
        <v>649</v>
      </c>
      <c r="G500" s="11" t="n">
        <v>53.3</v>
      </c>
      <c r="H500" s="11" t="n">
        <v>15.9</v>
      </c>
      <c r="I500" s="12" t="n">
        <v>6</v>
      </c>
      <c r="J500" s="11" t="n">
        <v>39.8</v>
      </c>
      <c r="K500" s="13" t="n">
        <v>84.4</v>
      </c>
      <c r="L500" s="2" t="s">
        <v>104</v>
      </c>
      <c r="M500" s="14" t="n">
        <v>4721</v>
      </c>
      <c r="N500" s="2" t="s">
        <v>73</v>
      </c>
      <c r="O500" s="14" t="n">
        <f aca="false">IFERROR(M500/I500,"")</f>
        <v>786.833333333333</v>
      </c>
    </row>
    <row r="501" customFormat="false" ht="15" hidden="false" customHeight="false" outlineLevel="0" collapsed="false">
      <c r="A501" s="2" t="s">
        <v>933</v>
      </c>
      <c r="B501" s="2" t="s">
        <v>165</v>
      </c>
      <c r="C501" s="2" t="s">
        <v>68</v>
      </c>
      <c r="D501" s="2" t="s">
        <v>69</v>
      </c>
      <c r="E501" s="2" t="s">
        <v>78</v>
      </c>
      <c r="F501" s="2" t="s">
        <v>934</v>
      </c>
      <c r="G501" s="11" t="n">
        <v>76.7</v>
      </c>
      <c r="H501" s="11" t="n">
        <v>13.5</v>
      </c>
      <c r="I501" s="12" t="n">
        <v>6</v>
      </c>
      <c r="J501" s="11" t="n">
        <v>93.5</v>
      </c>
      <c r="K501" s="13" t="n">
        <v>70.6</v>
      </c>
      <c r="L501" s="2" t="s">
        <v>72</v>
      </c>
      <c r="M501" s="14" t="n">
        <v>2687</v>
      </c>
      <c r="N501" s="2" t="s">
        <v>135</v>
      </c>
      <c r="O501" s="14" t="n">
        <f aca="false">IFERROR(M501/I501,"")</f>
        <v>447.833333333333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935</v>
      </c>
    </row>
    <row r="2" customFormat="false" ht="15" hidden="false" customHeight="false" outlineLevel="0" collapsed="false">
      <c r="A2" s="15" t="s">
        <v>936</v>
      </c>
    </row>
    <row r="4" customFormat="false" ht="15" hidden="false" customHeight="false" outlineLevel="0" collapsed="false">
      <c r="A4" s="3" t="s">
        <v>937</v>
      </c>
    </row>
    <row r="5" customFormat="false" ht="15" hidden="false" customHeight="false" outlineLevel="0" collapsed="false">
      <c r="A5" s="2" t="s">
        <v>938</v>
      </c>
      <c r="B5" s="16" t="n">
        <f aca="false">COUNTA(Datos!A2:A501)</f>
        <v>500</v>
      </c>
    </row>
    <row r="6" customFormat="false" ht="15" hidden="false" customHeight="false" outlineLevel="0" collapsed="false">
      <c r="A6" s="2" t="s">
        <v>939</v>
      </c>
      <c r="B6" s="16" t="n">
        <f aca="false">COUNTIF(Datos!N2:N501,"Operativo")</f>
        <v>262</v>
      </c>
    </row>
    <row r="7" customFormat="false" ht="15" hidden="false" customHeight="false" outlineLevel="0" collapsed="false">
      <c r="A7" s="2" t="s">
        <v>940</v>
      </c>
      <c r="B7" s="16" t="n">
        <f aca="false">COUNTIF(Datos!N2:N501,"Perdido")</f>
        <v>123</v>
      </c>
    </row>
    <row r="8" customFormat="false" ht="15" hidden="false" customHeight="false" outlineLevel="0" collapsed="false">
      <c r="A8" s="2" t="s">
        <v>941</v>
      </c>
      <c r="B8" s="17" t="n">
        <f aca="false">IFERROR(COUNTIF(Datos!N2:N501,"Perdido")/COUNTA(Datos!A2:A501),"")</f>
        <v>0.246</v>
      </c>
    </row>
    <row r="9" customFormat="false" ht="15" hidden="false" customHeight="false" outlineLevel="0" collapsed="false">
      <c r="A9" s="2" t="s">
        <v>942</v>
      </c>
      <c r="B9" s="16" t="n">
        <f aca="false">SUM(Datos!I2:I501)</f>
        <v>8096</v>
      </c>
    </row>
    <row r="10" customFormat="false" ht="15" hidden="false" customHeight="false" outlineLevel="0" collapsed="false">
      <c r="A10" s="2" t="s">
        <v>943</v>
      </c>
      <c r="B10" s="16" t="n">
        <f aca="false">SUM(Datos!J2:J501)</f>
        <v>71137.3</v>
      </c>
    </row>
    <row r="11" customFormat="false" ht="15" hidden="false" customHeight="false" outlineLevel="0" collapsed="false">
      <c r="A11" s="2" t="s">
        <v>944</v>
      </c>
      <c r="B11" s="17" t="n">
        <f aca="false">IFERROR(AVERAGE(Datos!K2:K501)/100,"")</f>
        <v>0.66418</v>
      </c>
    </row>
    <row r="12" customFormat="false" ht="15" hidden="false" customHeight="false" outlineLevel="0" collapsed="false">
      <c r="A12" s="2" t="s">
        <v>945</v>
      </c>
      <c r="B12" s="18" t="n">
        <f aca="false">SUM(Datos!M2:M501)</f>
        <v>8509494</v>
      </c>
    </row>
    <row r="13" customFormat="false" ht="15" hidden="false" customHeight="false" outlineLevel="0" collapsed="false">
      <c r="A13" s="2" t="s">
        <v>946</v>
      </c>
      <c r="B13" s="18" t="n">
        <f aca="false">IFERROR(SUM(Datos!M2:M501)/SUM(Datos!I2:I501),"")</f>
        <v>1051.07386363636</v>
      </c>
    </row>
    <row r="16" customFormat="false" ht="15" hidden="false" customHeight="false" outlineLevel="0" collapsed="false">
      <c r="A16" s="3" t="s">
        <v>947</v>
      </c>
    </row>
    <row r="17" customFormat="false" ht="15" hidden="false" customHeight="false" outlineLevel="0" collapsed="false">
      <c r="A17" s="19" t="s">
        <v>22</v>
      </c>
      <c r="B17" s="19" t="s">
        <v>948</v>
      </c>
      <c r="C17" s="19" t="s">
        <v>949</v>
      </c>
      <c r="D17" s="19" t="s">
        <v>950</v>
      </c>
      <c r="E17" s="19" t="s">
        <v>951</v>
      </c>
      <c r="F17" s="19" t="s">
        <v>952</v>
      </c>
      <c r="G17" s="19" t="s">
        <v>940</v>
      </c>
      <c r="H17" s="19" t="s">
        <v>953</v>
      </c>
    </row>
    <row r="18" customFormat="false" ht="15" hidden="false" customHeight="false" outlineLevel="0" collapsed="false">
      <c r="A18" s="2" t="s">
        <v>126</v>
      </c>
      <c r="B18" s="20" t="n">
        <f aca="false">COUNTIF(Datos!$C$2:$C$501,$A18)</f>
        <v>30</v>
      </c>
      <c r="C18" s="21" t="n">
        <f aca="false">IFERROR(B18/COUNTA(Datos!$A$2:$A$501),"")</f>
        <v>0.06</v>
      </c>
      <c r="D18" s="20" t="n">
        <f aca="false">SUMIF(Datos!$C$2:$C$501,$A18,Datos!$I$2:$I$501)</f>
        <v>438</v>
      </c>
      <c r="E18" s="21" t="n">
        <f aca="false">IFERROR(AVERAGEIF(Datos!$C$2:$C$501,$A18,Datos!$K$2:$K$501)/100,"")</f>
        <v>0.703333333333333</v>
      </c>
      <c r="F18" s="22" t="n">
        <f aca="false">IFERROR(AVERAGEIF(Datos!$C$2:$C$501,$A18,Datos!$M$2:$M$501),"")</f>
        <v>172036.666666667</v>
      </c>
      <c r="G18" s="20" t="n">
        <f aca="false">COUNTIFS(Datos!$C$2:$C$501,$A18,Datos!$N$2:$N$501,"Perdido")</f>
        <v>3</v>
      </c>
      <c r="H18" s="21" t="n">
        <f aca="false">IFERROR(G18/B18,"")</f>
        <v>0.1</v>
      </c>
    </row>
    <row r="19" customFormat="false" ht="15" hidden="false" customHeight="false" outlineLevel="0" collapsed="false">
      <c r="A19" s="2" t="s">
        <v>76</v>
      </c>
      <c r="B19" s="20" t="n">
        <f aca="false">COUNTIF(Datos!$C$2:$C$501,$A19)</f>
        <v>76</v>
      </c>
      <c r="C19" s="21" t="n">
        <f aca="false">IFERROR(B19/COUNTA(Datos!$A$2:$A$501),"")</f>
        <v>0.152</v>
      </c>
      <c r="D19" s="20" t="n">
        <f aca="false">SUMIF(Datos!$C$2:$C$501,$A19,Datos!$I$2:$I$501)</f>
        <v>967</v>
      </c>
      <c r="E19" s="21" t="n">
        <f aca="false">IFERROR(AVERAGEIF(Datos!$C$2:$C$501,$A19,Datos!$K$2:$K$501)/100,"")</f>
        <v>0.659276315789474</v>
      </c>
      <c r="F19" s="22" t="n">
        <f aca="false">IFERROR(AVERAGEIF(Datos!$C$2:$C$501,$A19,Datos!$M$2:$M$501),"")</f>
        <v>22042.9605263158</v>
      </c>
      <c r="G19" s="20" t="n">
        <f aca="false">COUNTIFS(Datos!$C$2:$C$501,$A19,Datos!$N$2:$N$501,"Perdido")</f>
        <v>14</v>
      </c>
      <c r="H19" s="21" t="n">
        <f aca="false">IFERROR(G19/B19,"")</f>
        <v>0.184210526315789</v>
      </c>
    </row>
    <row r="20" customFormat="false" ht="15" hidden="false" customHeight="false" outlineLevel="0" collapsed="false">
      <c r="A20" s="2" t="s">
        <v>83</v>
      </c>
      <c r="B20" s="20" t="n">
        <f aca="false">COUNTIF(Datos!$C$2:$C$501,$A20)</f>
        <v>173</v>
      </c>
      <c r="C20" s="21" t="n">
        <f aca="false">IFERROR(B20/COUNTA(Datos!$A$2:$A$501),"")</f>
        <v>0.346</v>
      </c>
      <c r="D20" s="20" t="n">
        <f aca="false">SUMIF(Datos!$C$2:$C$501,$A20,Datos!$I$2:$I$501)</f>
        <v>3794</v>
      </c>
      <c r="E20" s="21" t="n">
        <f aca="false">IFERROR(AVERAGEIF(Datos!$C$2:$C$501,$A20,Datos!$K$2:$K$501)/100,"")</f>
        <v>0.533375722543353</v>
      </c>
      <c r="F20" s="22" t="n">
        <f aca="false">IFERROR(AVERAGEIF(Datos!$C$2:$C$501,$A20,Datos!$M$2:$M$501),"")</f>
        <v>658.953757225434</v>
      </c>
      <c r="G20" s="20" t="n">
        <f aca="false">COUNTIFS(Datos!$C$2:$C$501,$A20,Datos!$N$2:$N$501,"Perdido")</f>
        <v>76</v>
      </c>
      <c r="H20" s="21" t="n">
        <f aca="false">IFERROR(G20/B20,"")</f>
        <v>0.439306358381503</v>
      </c>
    </row>
    <row r="21" customFormat="false" ht="15" hidden="false" customHeight="false" outlineLevel="0" collapsed="false">
      <c r="A21" s="2" t="s">
        <v>97</v>
      </c>
      <c r="B21" s="20" t="n">
        <f aca="false">COUNTIF(Datos!$C$2:$C$501,$A21)</f>
        <v>44</v>
      </c>
      <c r="C21" s="21" t="n">
        <f aca="false">IFERROR(B21/COUNTA(Datos!$A$2:$A$501),"")</f>
        <v>0.088</v>
      </c>
      <c r="D21" s="20" t="n">
        <f aca="false">SUMIF(Datos!$C$2:$C$501,$A21,Datos!$I$2:$I$501)</f>
        <v>541</v>
      </c>
      <c r="E21" s="21" t="n">
        <f aca="false">IFERROR(AVERAGEIF(Datos!$C$2:$C$501,$A21,Datos!$K$2:$K$501)/100,"")</f>
        <v>0.573454545454545</v>
      </c>
      <c r="F21" s="22" t="n">
        <f aca="false">IFERROR(AVERAGEIF(Datos!$C$2:$C$501,$A21,Datos!$M$2:$M$501),"")</f>
        <v>13966</v>
      </c>
      <c r="G21" s="20" t="n">
        <f aca="false">COUNTIFS(Datos!$C$2:$C$501,$A21,Datos!$N$2:$N$501,"Perdido")</f>
        <v>15</v>
      </c>
      <c r="H21" s="21" t="n">
        <f aca="false">IFERROR(G21/B21,"")</f>
        <v>0.340909090909091</v>
      </c>
    </row>
    <row r="22" customFormat="false" ht="15" hidden="false" customHeight="false" outlineLevel="0" collapsed="false">
      <c r="A22" s="2" t="s">
        <v>102</v>
      </c>
      <c r="B22" s="20" t="n">
        <f aca="false">COUNTIF(Datos!$C$2:$C$501,$A22)</f>
        <v>69</v>
      </c>
      <c r="C22" s="21" t="n">
        <f aca="false">IFERROR(B22/COUNTA(Datos!$A$2:$A$501),"")</f>
        <v>0.138</v>
      </c>
      <c r="D22" s="20" t="n">
        <f aca="false">SUMIF(Datos!$C$2:$C$501,$A22,Datos!$I$2:$I$501)</f>
        <v>954</v>
      </c>
      <c r="E22" s="21" t="n">
        <f aca="false">IFERROR(AVERAGEIF(Datos!$C$2:$C$501,$A22,Datos!$K$2:$K$501)/100,"")</f>
        <v>0.839956521739131</v>
      </c>
      <c r="F22" s="22" t="n">
        <f aca="false">IFERROR(AVERAGEIF(Datos!$C$2:$C$501,$A22,Datos!$M$2:$M$501),"")</f>
        <v>8195.73913043478</v>
      </c>
      <c r="G22" s="20" t="n">
        <f aca="false">COUNTIFS(Datos!$C$2:$C$501,$A22,Datos!$N$2:$N$501,"Perdido")</f>
        <v>5</v>
      </c>
      <c r="H22" s="21" t="n">
        <f aca="false">IFERROR(G22/B22,"")</f>
        <v>0.072463768115942</v>
      </c>
    </row>
    <row r="23" customFormat="false" ht="15" hidden="false" customHeight="false" outlineLevel="0" collapsed="false">
      <c r="A23" s="2" t="s">
        <v>68</v>
      </c>
      <c r="B23" s="20" t="n">
        <f aca="false">COUNTIF(Datos!$C$2:$C$501,$A23)</f>
        <v>108</v>
      </c>
      <c r="C23" s="21" t="n">
        <f aca="false">IFERROR(B23/COUNTA(Datos!$A$2:$A$501),"")</f>
        <v>0.216</v>
      </c>
      <c r="D23" s="20" t="n">
        <f aca="false">SUMIF(Datos!$C$2:$C$501,$A23,Datos!$I$2:$I$501)</f>
        <v>1402</v>
      </c>
      <c r="E23" s="21" t="n">
        <f aca="false">IFERROR(AVERAGEIF(Datos!$C$2:$C$501,$A23,Datos!$K$2:$K$501)/100,"")</f>
        <v>0.790944444444444</v>
      </c>
      <c r="F23" s="22" t="n">
        <f aca="false">IFERROR(AVERAGEIF(Datos!$C$2:$C$501,$A23,Datos!$M$2:$M$501),"")</f>
        <v>3510.37037037037</v>
      </c>
      <c r="G23" s="20" t="n">
        <f aca="false">COUNTIFS(Datos!$C$2:$C$501,$A23,Datos!$N$2:$N$501,"Perdido")</f>
        <v>10</v>
      </c>
      <c r="H23" s="21" t="n">
        <f aca="false">IFERROR(G23/B23,"")</f>
        <v>0.0925925925925926</v>
      </c>
    </row>
    <row r="24" customFormat="false" ht="15" hidden="false" customHeight="false" outlineLevel="0" collapsed="false">
      <c r="A24" s="23" t="s">
        <v>954</v>
      </c>
      <c r="B24" s="16" t="n">
        <f aca="false">SUM(B18:B23)</f>
        <v>500</v>
      </c>
      <c r="C24" s="17" t="n">
        <f aca="false">SUM(C18:C23)</f>
        <v>1</v>
      </c>
      <c r="D24" s="16" t="n">
        <f aca="false">SUM(D18:D23)</f>
        <v>8096</v>
      </c>
      <c r="E24" s="17" t="n">
        <f aca="false">IFERROR(AVERAGE(Datos!$K$2:$K$501)/100,"")</f>
        <v>0.66418</v>
      </c>
      <c r="F24" s="18" t="n">
        <f aca="false">IFERROR(AVERAGE(Datos!$M$2:$M$501),"")</f>
        <v>17018.988</v>
      </c>
      <c r="G24" s="16" t="n">
        <f aca="false">SUM(G18:G23)</f>
        <v>123</v>
      </c>
      <c r="H24" s="17" t="n">
        <f aca="false">IFERROR(G24/B24,"")</f>
        <v>0.246</v>
      </c>
    </row>
    <row r="27" customFormat="false" ht="15" hidden="false" customHeight="false" outlineLevel="0" collapsed="false">
      <c r="A27" s="3" t="s">
        <v>955</v>
      </c>
    </row>
    <row r="28" customFormat="false" ht="15" hidden="false" customHeight="false" outlineLevel="0" collapsed="false">
      <c r="A28" s="19" t="s">
        <v>956</v>
      </c>
      <c r="B28" s="19" t="s">
        <v>948</v>
      </c>
      <c r="C28" s="19" t="s">
        <v>949</v>
      </c>
      <c r="D28" s="19" t="s">
        <v>950</v>
      </c>
      <c r="E28" s="19" t="s">
        <v>951</v>
      </c>
      <c r="F28" s="19" t="s">
        <v>952</v>
      </c>
      <c r="G28" s="19" t="s">
        <v>940</v>
      </c>
      <c r="H28" s="19" t="s">
        <v>953</v>
      </c>
    </row>
    <row r="29" customFormat="false" ht="15" hidden="false" customHeight="false" outlineLevel="0" collapsed="false">
      <c r="A29" s="2" t="s">
        <v>78</v>
      </c>
      <c r="B29" s="20" t="n">
        <f aca="false">COUNTIF(Datos!$E$2:$E$501,$A29)</f>
        <v>139</v>
      </c>
      <c r="C29" s="21" t="n">
        <f aca="false">IFERROR(B29/COUNTA(Datos!$A$2:$A$501),"")</f>
        <v>0.278</v>
      </c>
      <c r="D29" s="20" t="n">
        <f aca="false">SUMIF(Datos!$E$2:$E$501,$A29,Datos!$I$2:$I$501)</f>
        <v>2301</v>
      </c>
      <c r="E29" s="21" t="n">
        <f aca="false">IFERROR(AVERAGEIF(Datos!$E$2:$E$501,$A29,Datos!$K$2:$K$501)/100,"")</f>
        <v>0.635158273381295</v>
      </c>
      <c r="F29" s="22" t="n">
        <f aca="false">IFERROR(AVERAGEIF(Datos!$E$2:$E$501,$A29,Datos!$M$2:$M$501),"")</f>
        <v>20102.8633093525</v>
      </c>
      <c r="G29" s="20" t="n">
        <f aca="false">COUNTIFS(Datos!$E$2:$E$501,$A29,Datos!$N$2:$N$501,"Perdido")</f>
        <v>36</v>
      </c>
      <c r="H29" s="21" t="n">
        <f aca="false">IFERROR(G29/B29,"")</f>
        <v>0.258992805755396</v>
      </c>
    </row>
    <row r="30" customFormat="false" ht="15" hidden="false" customHeight="false" outlineLevel="0" collapsed="false">
      <c r="A30" s="2" t="s">
        <v>90</v>
      </c>
      <c r="B30" s="20" t="n">
        <f aca="false">COUNTIF(Datos!$E$2:$E$501,$A30)</f>
        <v>72</v>
      </c>
      <c r="C30" s="21" t="n">
        <f aca="false">IFERROR(B30/COUNTA(Datos!$A$2:$A$501),"")</f>
        <v>0.144</v>
      </c>
      <c r="D30" s="20" t="n">
        <f aca="false">SUMIF(Datos!$E$2:$E$501,$A30,Datos!$I$2:$I$501)</f>
        <v>1192</v>
      </c>
      <c r="E30" s="21" t="n">
        <f aca="false">IFERROR(AVERAGEIF(Datos!$E$2:$E$501,$A30,Datos!$K$2:$K$501)/100,"")</f>
        <v>0.646180555555556</v>
      </c>
      <c r="F30" s="22" t="n">
        <f aca="false">IFERROR(AVERAGEIF(Datos!$E$2:$E$501,$A30,Datos!$M$2:$M$501),"")</f>
        <v>15828.4444444444</v>
      </c>
      <c r="G30" s="20" t="n">
        <f aca="false">COUNTIFS(Datos!$E$2:$E$501,$A30,Datos!$N$2:$N$501,"Perdido")</f>
        <v>24</v>
      </c>
      <c r="H30" s="21" t="n">
        <f aca="false">IFERROR(G30/B30,"")</f>
        <v>0.333333333333333</v>
      </c>
    </row>
    <row r="31" customFormat="false" ht="15" hidden="false" customHeight="false" outlineLevel="0" collapsed="false">
      <c r="A31" s="2" t="s">
        <v>70</v>
      </c>
      <c r="B31" s="20" t="n">
        <f aca="false">COUNTIF(Datos!$E$2:$E$501,$A31)</f>
        <v>57</v>
      </c>
      <c r="C31" s="21" t="n">
        <f aca="false">IFERROR(B31/COUNTA(Datos!$A$2:$A$501),"")</f>
        <v>0.114</v>
      </c>
      <c r="D31" s="20" t="n">
        <f aca="false">SUMIF(Datos!$E$2:$E$501,$A31,Datos!$I$2:$I$501)</f>
        <v>837</v>
      </c>
      <c r="E31" s="21" t="n">
        <f aca="false">IFERROR(AVERAGEIF(Datos!$E$2:$E$501,$A31,Datos!$K$2:$K$501)/100,"")</f>
        <v>0.70340350877193</v>
      </c>
      <c r="F31" s="22" t="n">
        <f aca="false">IFERROR(AVERAGEIF(Datos!$E$2:$E$501,$A31,Datos!$M$2:$M$501),"")</f>
        <v>15038.3859649123</v>
      </c>
      <c r="G31" s="20" t="n">
        <f aca="false">COUNTIFS(Datos!$E$2:$E$501,$A31,Datos!$N$2:$N$501,"Perdido")</f>
        <v>14</v>
      </c>
      <c r="H31" s="21" t="n">
        <f aca="false">IFERROR(G31/B31,"")</f>
        <v>0.245614035087719</v>
      </c>
    </row>
    <row r="32" customFormat="false" ht="15" hidden="false" customHeight="false" outlineLevel="0" collapsed="false">
      <c r="A32" s="2" t="s">
        <v>98</v>
      </c>
      <c r="B32" s="20" t="n">
        <f aca="false">COUNTIF(Datos!$E$2:$E$501,$A32)</f>
        <v>55</v>
      </c>
      <c r="C32" s="21" t="n">
        <f aca="false">IFERROR(B32/COUNTA(Datos!$A$2:$A$501),"")</f>
        <v>0.11</v>
      </c>
      <c r="D32" s="20" t="n">
        <f aca="false">SUMIF(Datos!$E$2:$E$501,$A32,Datos!$I$2:$I$501)</f>
        <v>923</v>
      </c>
      <c r="E32" s="21" t="n">
        <f aca="false">IFERROR(AVERAGEIF(Datos!$E$2:$E$501,$A32,Datos!$K$2:$K$501)/100,"")</f>
        <v>0.697254545454546</v>
      </c>
      <c r="F32" s="22" t="n">
        <f aca="false">IFERROR(AVERAGEIF(Datos!$E$2:$E$501,$A32,Datos!$M$2:$M$501),"")</f>
        <v>7955.54545454546</v>
      </c>
      <c r="G32" s="20" t="n">
        <f aca="false">COUNTIFS(Datos!$E$2:$E$501,$A32,Datos!$N$2:$N$501,"Perdido")</f>
        <v>10</v>
      </c>
      <c r="H32" s="21" t="n">
        <f aca="false">IFERROR(G32/B32,"")</f>
        <v>0.181818181818182</v>
      </c>
    </row>
    <row r="33" customFormat="false" ht="15" hidden="false" customHeight="false" outlineLevel="0" collapsed="false">
      <c r="A33" s="2" t="s">
        <v>116</v>
      </c>
      <c r="B33" s="20" t="n">
        <f aca="false">COUNTIF(Datos!$E$2:$E$501,$A33)</f>
        <v>42</v>
      </c>
      <c r="C33" s="21" t="n">
        <f aca="false">IFERROR(B33/COUNTA(Datos!$A$2:$A$501),"")</f>
        <v>0.084</v>
      </c>
      <c r="D33" s="20" t="n">
        <f aca="false">SUMIF(Datos!$E$2:$E$501,$A33,Datos!$I$2:$I$501)</f>
        <v>628</v>
      </c>
      <c r="E33" s="21" t="n">
        <f aca="false">IFERROR(AVERAGEIF(Datos!$E$2:$E$501,$A33,Datos!$K$2:$K$501)/100,"")</f>
        <v>0.714476190476191</v>
      </c>
      <c r="F33" s="22" t="n">
        <f aca="false">IFERROR(AVERAGEIF(Datos!$E$2:$E$501,$A33,Datos!$M$2:$M$501),"")</f>
        <v>19874.0476190476</v>
      </c>
      <c r="G33" s="20" t="n">
        <f aca="false">COUNTIFS(Datos!$E$2:$E$501,$A33,Datos!$N$2:$N$501,"Perdido")</f>
        <v>9</v>
      </c>
      <c r="H33" s="21" t="n">
        <f aca="false">IFERROR(G33/B33,"")</f>
        <v>0.214285714285714</v>
      </c>
    </row>
    <row r="34" customFormat="false" ht="15" hidden="false" customHeight="false" outlineLevel="0" collapsed="false">
      <c r="A34" s="2" t="s">
        <v>85</v>
      </c>
      <c r="B34" s="20" t="n">
        <f aca="false">COUNTIF(Datos!$E$2:$E$501,$A34)</f>
        <v>41</v>
      </c>
      <c r="C34" s="21" t="n">
        <f aca="false">IFERROR(B34/COUNTA(Datos!$A$2:$A$501),"")</f>
        <v>0.082</v>
      </c>
      <c r="D34" s="20" t="n">
        <f aca="false">SUMIF(Datos!$E$2:$E$501,$A34,Datos!$I$2:$I$501)</f>
        <v>642</v>
      </c>
      <c r="E34" s="21" t="n">
        <f aca="false">IFERROR(AVERAGEIF(Datos!$E$2:$E$501,$A34,Datos!$K$2:$K$501)/100,"")</f>
        <v>0.711682926829268</v>
      </c>
      <c r="F34" s="22" t="n">
        <f aca="false">IFERROR(AVERAGEIF(Datos!$E$2:$E$501,$A34,Datos!$M$2:$M$501),"")</f>
        <v>18127.5609756098</v>
      </c>
      <c r="G34" s="20" t="n">
        <f aca="false">COUNTIFS(Datos!$E$2:$E$501,$A34,Datos!$N$2:$N$501,"Perdido")</f>
        <v>11</v>
      </c>
      <c r="H34" s="21" t="n">
        <f aca="false">IFERROR(G34/B34,"")</f>
        <v>0.268292682926829</v>
      </c>
    </row>
    <row r="35" customFormat="false" ht="15" hidden="false" customHeight="false" outlineLevel="0" collapsed="false">
      <c r="A35" s="2" t="s">
        <v>107</v>
      </c>
      <c r="B35" s="20" t="n">
        <f aca="false">COUNTIF(Datos!$E$2:$E$501,$A35)</f>
        <v>94</v>
      </c>
      <c r="C35" s="21" t="n">
        <f aca="false">IFERROR(B35/COUNTA(Datos!$A$2:$A$501),"")</f>
        <v>0.188</v>
      </c>
      <c r="D35" s="20" t="n">
        <f aca="false">SUMIF(Datos!$E$2:$E$501,$A35,Datos!$I$2:$I$501)</f>
        <v>1573</v>
      </c>
      <c r="E35" s="21" t="n">
        <f aca="false">IFERROR(AVERAGEIF(Datos!$E$2:$E$501,$A35,Datos!$K$2:$K$501)/100,"")</f>
        <v>0.634553191489362</v>
      </c>
      <c r="F35" s="22" t="n">
        <f aca="false">IFERROR(AVERAGEIF(Datos!$E$2:$E$501,$A35,Datos!$M$2:$M$501),"")</f>
        <v>18115.585106383</v>
      </c>
      <c r="G35" s="20" t="n">
        <f aca="false">COUNTIFS(Datos!$E$2:$E$501,$A35,Datos!$N$2:$N$501,"Perdido")</f>
        <v>19</v>
      </c>
      <c r="H35" s="21" t="n">
        <f aca="false">IFERROR(G35/B35,"")</f>
        <v>0.202127659574468</v>
      </c>
    </row>
    <row r="36" customFormat="false" ht="15" hidden="false" customHeight="false" outlineLevel="0" collapsed="false">
      <c r="A36" s="23" t="s">
        <v>954</v>
      </c>
      <c r="B36" s="16" t="n">
        <f aca="false">SUM(B29:B35)</f>
        <v>500</v>
      </c>
      <c r="C36" s="17" t="n">
        <f aca="false">SUM(C29:C35)</f>
        <v>1</v>
      </c>
      <c r="D36" s="16" t="n">
        <f aca="false">SUM(D29:D35)</f>
        <v>8096</v>
      </c>
      <c r="E36" s="17" t="n">
        <f aca="false">IFERROR(AVERAGE(Datos!$K$2:$K$501)/100,"")</f>
        <v>0.66418</v>
      </c>
      <c r="F36" s="18" t="n">
        <f aca="false">IFERROR(AVERAGE(Datos!$M$2:$M$501),"")</f>
        <v>17018.988</v>
      </c>
      <c r="G36" s="16" t="n">
        <f aca="false">SUM(G29:G35)</f>
        <v>123</v>
      </c>
      <c r="H36" s="17" t="n">
        <f aca="false">IFERROR(G36/B36,"")</f>
        <v>0.246</v>
      </c>
    </row>
    <row r="39" customFormat="false" ht="15" hidden="false" customHeight="false" outlineLevel="0" collapsed="false">
      <c r="A39" s="3" t="s">
        <v>957</v>
      </c>
    </row>
    <row r="40" customFormat="false" ht="15" hidden="false" customHeight="false" outlineLevel="0" collapsed="false">
      <c r="A40" s="19" t="s">
        <v>958</v>
      </c>
      <c r="B40" s="19" t="s">
        <v>948</v>
      </c>
      <c r="C40" s="19" t="s">
        <v>949</v>
      </c>
      <c r="D40" s="19" t="s">
        <v>950</v>
      </c>
      <c r="E40" s="19" t="s">
        <v>951</v>
      </c>
      <c r="F40" s="19" t="s">
        <v>952</v>
      </c>
      <c r="G40" s="19" t="s">
        <v>940</v>
      </c>
      <c r="H40" s="19" t="s">
        <v>953</v>
      </c>
    </row>
    <row r="41" customFormat="false" ht="15" hidden="false" customHeight="false" outlineLevel="0" collapsed="false">
      <c r="A41" s="2" t="s">
        <v>87</v>
      </c>
      <c r="B41" s="20" t="n">
        <f aca="false">COUNTIF(Datos!$L$2:$L$501,$A41)</f>
        <v>86</v>
      </c>
      <c r="C41" s="21" t="n">
        <f aca="false">IFERROR(B41/COUNTA(Datos!$A$2:$A$501),"")</f>
        <v>0.172</v>
      </c>
      <c r="D41" s="20" t="n">
        <f aca="false">SUMIF(Datos!$L$2:$L$501,$A41,Datos!$I$2:$I$501)</f>
        <v>1408</v>
      </c>
      <c r="E41" s="21" t="n">
        <f aca="false">IFERROR(AVERAGEIF(Datos!$L$2:$L$501,$A41,Datos!$K$2:$K$501)/100,"")</f>
        <v>0.729348837209302</v>
      </c>
      <c r="F41" s="22" t="n">
        <f aca="false">IFERROR(AVERAGEIF(Datos!$L$2:$L$501,$A41,Datos!$M$2:$M$501),"")</f>
        <v>15248.2209302326</v>
      </c>
      <c r="G41" s="20" t="n">
        <f aca="false">COUNTIFS(Datos!$L$2:$L$501,$A41,Datos!$N$2:$N$501,"Perdido")</f>
        <v>21</v>
      </c>
      <c r="H41" s="21" t="n">
        <f aca="false">IFERROR(G41/B41,"")</f>
        <v>0.244186046511628</v>
      </c>
    </row>
    <row r="42" customFormat="false" ht="15" hidden="false" customHeight="false" outlineLevel="0" collapsed="false">
      <c r="A42" s="2" t="s">
        <v>104</v>
      </c>
      <c r="B42" s="20" t="n">
        <f aca="false">COUNTIF(Datos!$L$2:$L$501,$A42)</f>
        <v>164</v>
      </c>
      <c r="C42" s="21" t="n">
        <f aca="false">IFERROR(B42/COUNTA(Datos!$A$2:$A$501),"")</f>
        <v>0.328</v>
      </c>
      <c r="D42" s="20" t="n">
        <f aca="false">SUMIF(Datos!$L$2:$L$501,$A42,Datos!$I$2:$I$501)</f>
        <v>2645</v>
      </c>
      <c r="E42" s="21" t="n">
        <f aca="false">IFERROR(AVERAGEIF(Datos!$L$2:$L$501,$A42,Datos!$K$2:$K$501)/100,"")</f>
        <v>0.70090243902439</v>
      </c>
      <c r="F42" s="22" t="n">
        <f aca="false">IFERROR(AVERAGEIF(Datos!$L$2:$L$501,$A42,Datos!$M$2:$M$501),"")</f>
        <v>18688.743902439</v>
      </c>
      <c r="G42" s="20" t="n">
        <f aca="false">COUNTIFS(Datos!$L$2:$L$501,$A42,Datos!$N$2:$N$501,"Perdido")</f>
        <v>35</v>
      </c>
      <c r="H42" s="21" t="n">
        <f aca="false">IFERROR(G42/B42,"")</f>
        <v>0.213414634146341</v>
      </c>
    </row>
    <row r="43" customFormat="false" ht="15" hidden="false" customHeight="false" outlineLevel="0" collapsed="false">
      <c r="A43" s="2" t="s">
        <v>72</v>
      </c>
      <c r="B43" s="20" t="n">
        <f aca="false">COUNTIF(Datos!$L$2:$L$501,$A43)</f>
        <v>174</v>
      </c>
      <c r="C43" s="21" t="n">
        <f aca="false">IFERROR(B43/COUNTA(Datos!$A$2:$A$501),"")</f>
        <v>0.348</v>
      </c>
      <c r="D43" s="20" t="n">
        <f aca="false">SUMIF(Datos!$L$2:$L$501,$A43,Datos!$I$2:$I$501)</f>
        <v>2761</v>
      </c>
      <c r="E43" s="21" t="n">
        <f aca="false">IFERROR(AVERAGEIF(Datos!$L$2:$L$501,$A43,Datos!$K$2:$K$501)/100,"")</f>
        <v>0.639086206896552</v>
      </c>
      <c r="F43" s="22" t="n">
        <f aca="false">IFERROR(AVERAGEIF(Datos!$L$2:$L$501,$A43,Datos!$M$2:$M$501),"")</f>
        <v>18352.7873563218</v>
      </c>
      <c r="G43" s="20" t="n">
        <f aca="false">COUNTIFS(Datos!$L$2:$L$501,$A43,Datos!$N$2:$N$501,"Perdido")</f>
        <v>50</v>
      </c>
      <c r="H43" s="21" t="n">
        <f aca="false">IFERROR(G43/B43,"")</f>
        <v>0.28735632183908</v>
      </c>
    </row>
    <row r="44" customFormat="false" ht="15" hidden="false" customHeight="false" outlineLevel="0" collapsed="false">
      <c r="A44" s="2" t="s">
        <v>109</v>
      </c>
      <c r="B44" s="20" t="n">
        <f aca="false">COUNTIF(Datos!$L$2:$L$501,$A44)</f>
        <v>76</v>
      </c>
      <c r="C44" s="21" t="n">
        <f aca="false">IFERROR(B44/COUNTA(Datos!$A$2:$A$501),"")</f>
        <v>0.152</v>
      </c>
      <c r="D44" s="20" t="n">
        <f aca="false">SUMIF(Datos!$L$2:$L$501,$A44,Datos!$I$2:$I$501)</f>
        <v>1282</v>
      </c>
      <c r="E44" s="21" t="n">
        <f aca="false">IFERROR(AVERAGEIF(Datos!$L$2:$L$501,$A44,Datos!$K$2:$K$501)/100,"")</f>
        <v>0.568644736842105</v>
      </c>
      <c r="F44" s="22" t="n">
        <f aca="false">IFERROR(AVERAGEIF(Datos!$L$2:$L$501,$A44,Datos!$M$2:$M$501),"")</f>
        <v>12365.8947368421</v>
      </c>
      <c r="G44" s="20" t="n">
        <f aca="false">COUNTIFS(Datos!$L$2:$L$501,$A44,Datos!$N$2:$N$501,"Perdido")</f>
        <v>17</v>
      </c>
      <c r="H44" s="21" t="n">
        <f aca="false">IFERROR(G44/B44,"")</f>
        <v>0.223684210526316</v>
      </c>
    </row>
    <row r="45" customFormat="false" ht="15" hidden="false" customHeight="false" outlineLevel="0" collapsed="false">
      <c r="A45" s="23" t="s">
        <v>954</v>
      </c>
      <c r="B45" s="16" t="n">
        <f aca="false">SUM(B41:B44)</f>
        <v>500</v>
      </c>
      <c r="C45" s="17" t="n">
        <f aca="false">SUM(C41:C44)</f>
        <v>1</v>
      </c>
      <c r="D45" s="16" t="n">
        <f aca="false">SUM(D41:D44)</f>
        <v>8096</v>
      </c>
      <c r="E45" s="17" t="n">
        <f aca="false">IFERROR(AVERAGE(Datos!$K$2:$K$501)/100,"")</f>
        <v>0.66418</v>
      </c>
      <c r="F45" s="18" t="n">
        <f aca="false">IFERROR(AVERAGE(Datos!$M$2:$M$501),"")</f>
        <v>17018.988</v>
      </c>
      <c r="G45" s="16" t="n">
        <f aca="false">SUM(G41:G44)</f>
        <v>123</v>
      </c>
      <c r="H45" s="17" t="n">
        <f aca="false">IFERROR(G45/B45,"")</f>
        <v>0.246</v>
      </c>
    </row>
    <row r="48" customFormat="false" ht="15" hidden="false" customHeight="false" outlineLevel="0" collapsed="false">
      <c r="A48" s="3" t="s">
        <v>959</v>
      </c>
    </row>
    <row r="49" customFormat="false" ht="15" hidden="false" customHeight="false" outlineLevel="0" collapsed="false">
      <c r="A49" s="19" t="s">
        <v>24</v>
      </c>
      <c r="B49" s="19" t="s">
        <v>948</v>
      </c>
      <c r="C49" s="19" t="s">
        <v>949</v>
      </c>
      <c r="D49" s="19" t="s">
        <v>950</v>
      </c>
      <c r="E49" s="19" t="s">
        <v>951</v>
      </c>
      <c r="F49" s="19" t="s">
        <v>952</v>
      </c>
      <c r="G49" s="19" t="s">
        <v>940</v>
      </c>
      <c r="H49" s="19" t="s">
        <v>953</v>
      </c>
    </row>
    <row r="50" customFormat="false" ht="15" hidden="false" customHeight="false" outlineLevel="0" collapsed="false">
      <c r="A50" s="2" t="s">
        <v>130</v>
      </c>
      <c r="B50" s="20" t="n">
        <f aca="false">COUNTIF(Datos!$D$2:$D$501,$A50)</f>
        <v>33</v>
      </c>
      <c r="C50" s="21" t="n">
        <f aca="false">IFERROR(B50/COUNTA(Datos!$A$2:$A$501),"")</f>
        <v>0.066</v>
      </c>
      <c r="D50" s="20" t="n">
        <f aca="false">SUMIF(Datos!$D$2:$D$501,$A50,Datos!$I$2:$I$501)</f>
        <v>655</v>
      </c>
      <c r="E50" s="21" t="n">
        <f aca="false">IFERROR(AVERAGEIF(Datos!$D$2:$D$501,$A50,Datos!$K$2:$K$501)/100,"")</f>
        <v>0.642212121212121</v>
      </c>
      <c r="F50" s="22" t="n">
        <f aca="false">IFERROR(AVERAGEIF(Datos!$D$2:$D$501,$A50,Datos!$M$2:$M$501),"")</f>
        <v>10270.2727272727</v>
      </c>
      <c r="G50" s="20" t="n">
        <f aca="false">COUNTIFS(Datos!$D$2:$D$501,$A50,Datos!$N$2:$N$501,"Perdido")</f>
        <v>12</v>
      </c>
      <c r="H50" s="21" t="n">
        <f aca="false">IFERROR(G50/B50,"")</f>
        <v>0.363636363636364</v>
      </c>
    </row>
    <row r="51" customFormat="false" ht="15" hidden="false" customHeight="false" outlineLevel="0" collapsed="false">
      <c r="A51" s="2" t="s">
        <v>84</v>
      </c>
      <c r="B51" s="20" t="n">
        <f aca="false">COUNTIF(Datos!$D$2:$D$501,$A51)</f>
        <v>99</v>
      </c>
      <c r="C51" s="21" t="n">
        <f aca="false">IFERROR(B51/COUNTA(Datos!$A$2:$A$501),"")</f>
        <v>0.198</v>
      </c>
      <c r="D51" s="20" t="n">
        <f aca="false">SUMIF(Datos!$D$2:$D$501,$A51,Datos!$I$2:$I$501)</f>
        <v>1463</v>
      </c>
      <c r="E51" s="21" t="n">
        <f aca="false">IFERROR(AVERAGEIF(Datos!$D$2:$D$501,$A51,Datos!$K$2:$K$501)/100,"")</f>
        <v>0.671323232323232</v>
      </c>
      <c r="F51" s="22" t="n">
        <f aca="false">IFERROR(AVERAGEIF(Datos!$D$2:$D$501,$A51,Datos!$M$2:$M$501),"")</f>
        <v>17700.2222222222</v>
      </c>
      <c r="G51" s="20" t="n">
        <f aca="false">COUNTIFS(Datos!$D$2:$D$501,$A51,Datos!$N$2:$N$501,"Perdido")</f>
        <v>20</v>
      </c>
      <c r="H51" s="21" t="n">
        <f aca="false">IFERROR(G51/B51,"")</f>
        <v>0.202020202020202</v>
      </c>
    </row>
    <row r="52" customFormat="false" ht="15" hidden="false" customHeight="false" outlineLevel="0" collapsed="false">
      <c r="A52" s="2" t="s">
        <v>127</v>
      </c>
      <c r="B52" s="20" t="n">
        <f aca="false">COUNTIF(Datos!$D$2:$D$501,$A52)</f>
        <v>63</v>
      </c>
      <c r="C52" s="21" t="n">
        <f aca="false">IFERROR(B52/COUNTA(Datos!$A$2:$A$501),"")</f>
        <v>0.126</v>
      </c>
      <c r="D52" s="20" t="n">
        <f aca="false">SUMIF(Datos!$D$2:$D$501,$A52,Datos!$I$2:$I$501)</f>
        <v>1065</v>
      </c>
      <c r="E52" s="21" t="n">
        <f aca="false">IFERROR(AVERAGEIF(Datos!$D$2:$D$501,$A52,Datos!$K$2:$K$501)/100,"")</f>
        <v>0.671857142857143</v>
      </c>
      <c r="F52" s="22" t="n">
        <f aca="false">IFERROR(AVERAGEIF(Datos!$D$2:$D$501,$A52,Datos!$M$2:$M$501),"")</f>
        <v>11614.6031746032</v>
      </c>
      <c r="G52" s="20" t="n">
        <f aca="false">COUNTIFS(Datos!$D$2:$D$501,$A52,Datos!$N$2:$N$501,"Perdido")</f>
        <v>13</v>
      </c>
      <c r="H52" s="21" t="n">
        <f aca="false">IFERROR(G52/B52,"")</f>
        <v>0.206349206349206</v>
      </c>
    </row>
    <row r="53" customFormat="false" ht="15" hidden="false" customHeight="false" outlineLevel="0" collapsed="false">
      <c r="A53" s="2" t="s">
        <v>69</v>
      </c>
      <c r="B53" s="20" t="n">
        <f aca="false">COUNTIF(Datos!$D$2:$D$501,$A53)</f>
        <v>49</v>
      </c>
      <c r="C53" s="21" t="n">
        <f aca="false">IFERROR(B53/COUNTA(Datos!$A$2:$A$501),"")</f>
        <v>0.098</v>
      </c>
      <c r="D53" s="20" t="n">
        <f aca="false">SUMIF(Datos!$D$2:$D$501,$A53,Datos!$I$2:$I$501)</f>
        <v>772</v>
      </c>
      <c r="E53" s="21" t="n">
        <f aca="false">IFERROR(AVERAGEIF(Datos!$D$2:$D$501,$A53,Datos!$K$2:$K$501)/100,"")</f>
        <v>0.671469387755102</v>
      </c>
      <c r="F53" s="22" t="n">
        <f aca="false">IFERROR(AVERAGEIF(Datos!$D$2:$D$501,$A53,Datos!$M$2:$M$501),"")</f>
        <v>14226.306122449</v>
      </c>
      <c r="G53" s="20" t="n">
        <f aca="false">COUNTIFS(Datos!$D$2:$D$501,$A53,Datos!$N$2:$N$501,"Perdido")</f>
        <v>9</v>
      </c>
      <c r="H53" s="21" t="n">
        <f aca="false">IFERROR(G53/B53,"")</f>
        <v>0.183673469387755</v>
      </c>
    </row>
    <row r="54" customFormat="false" ht="15" hidden="false" customHeight="false" outlineLevel="0" collapsed="false">
      <c r="A54" s="2" t="s">
        <v>122</v>
      </c>
      <c r="B54" s="20" t="n">
        <f aca="false">COUNTIF(Datos!$D$2:$D$501,$A54)</f>
        <v>32</v>
      </c>
      <c r="C54" s="21" t="n">
        <f aca="false">IFERROR(B54/COUNTA(Datos!$A$2:$A$501),"")</f>
        <v>0.064</v>
      </c>
      <c r="D54" s="20" t="n">
        <f aca="false">SUMIF(Datos!$D$2:$D$501,$A54,Datos!$I$2:$I$501)</f>
        <v>482</v>
      </c>
      <c r="E54" s="21" t="n">
        <f aca="false">IFERROR(AVERAGEIF(Datos!$D$2:$D$501,$A54,Datos!$K$2:$K$501)/100,"")</f>
        <v>0.63796875</v>
      </c>
      <c r="F54" s="22" t="n">
        <f aca="false">IFERROR(AVERAGEIF(Datos!$D$2:$D$501,$A54,Datos!$M$2:$M$501),"")</f>
        <v>22254.96875</v>
      </c>
      <c r="G54" s="20" t="n">
        <f aca="false">COUNTIFS(Datos!$D$2:$D$501,$A54,Datos!$N$2:$N$501,"Perdido")</f>
        <v>6</v>
      </c>
      <c r="H54" s="21" t="n">
        <f aca="false">IFERROR(G54/B54,"")</f>
        <v>0.1875</v>
      </c>
    </row>
    <row r="55" customFormat="false" ht="15" hidden="false" customHeight="false" outlineLevel="0" collapsed="false">
      <c r="A55" s="2" t="s">
        <v>77</v>
      </c>
      <c r="B55" s="20" t="n">
        <f aca="false">COUNTIF(Datos!$D$2:$D$501,$A55)</f>
        <v>224</v>
      </c>
      <c r="C55" s="21" t="n">
        <f aca="false">IFERROR(B55/COUNTA(Datos!$A$2:$A$501),"")</f>
        <v>0.448</v>
      </c>
      <c r="D55" s="20" t="n">
        <f aca="false">SUMIF(Datos!$D$2:$D$501,$A55,Datos!$I$2:$I$501)</f>
        <v>3659</v>
      </c>
      <c r="E55" s="21" t="n">
        <f aca="false">IFERROR(AVERAGEIF(Datos!$D$2:$D$501,$A55,Datos!$K$2:$K$501)/100,"")</f>
        <v>0.66425</v>
      </c>
      <c r="F55" s="22" t="n">
        <f aca="false">IFERROR(AVERAGEIF(Datos!$D$2:$D$501,$A55,Datos!$M$2:$M$501),"")</f>
        <v>19095.0223214286</v>
      </c>
      <c r="G55" s="20" t="n">
        <f aca="false">COUNTIFS(Datos!$D$2:$D$501,$A55,Datos!$N$2:$N$501,"Perdido")</f>
        <v>63</v>
      </c>
      <c r="H55" s="21" t="n">
        <f aca="false">IFERROR(G55/B55,"")</f>
        <v>0.28125</v>
      </c>
    </row>
    <row r="56" customFormat="false" ht="15" hidden="false" customHeight="false" outlineLevel="0" collapsed="false">
      <c r="A56" s="23" t="s">
        <v>954</v>
      </c>
      <c r="B56" s="16" t="n">
        <f aca="false">SUM(B50:B55)</f>
        <v>500</v>
      </c>
      <c r="C56" s="17" t="n">
        <f aca="false">SUM(C50:C55)</f>
        <v>1</v>
      </c>
      <c r="D56" s="16" t="n">
        <f aca="false">SUM(D50:D55)</f>
        <v>8096</v>
      </c>
      <c r="E56" s="17" t="n">
        <f aca="false">IFERROR(AVERAGE(Datos!$K$2:$K$501)/100,"")</f>
        <v>0.66418</v>
      </c>
      <c r="F56" s="18" t="n">
        <f aca="false">IFERROR(AVERAGE(Datos!$M$2:$M$501),"")</f>
        <v>17018.988</v>
      </c>
      <c r="G56" s="16" t="n">
        <f aca="false">SUM(G50:G55)</f>
        <v>123</v>
      </c>
      <c r="H56" s="17" t="n">
        <f aca="false">IFERROR(G56/B56,"")</f>
        <v>0.246</v>
      </c>
    </row>
    <row r="59" customFormat="false" ht="15" hidden="false" customHeight="false" outlineLevel="0" collapsed="false">
      <c r="A59" s="15" t="s">
        <v>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2026-07-25T01:11:53Z</dcterms:created>
  <dc:creator>openpyxl</dc:creator>
  <dc:description/>
  <dc:language>en-US</dc:language>
  <cp:lastModifiedBy/>
  <dcterms:modified xsi:type="dcterms:W3CDTF">2026-07-25T01:11:53Z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